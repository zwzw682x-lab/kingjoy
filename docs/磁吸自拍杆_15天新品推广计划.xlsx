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推广总览" sheetId="1" state="visible" r:id="rId1"/>
    <sheet name="15天推广计划" sheetId="2" state="visible" r:id="rId2"/>
    <sheet name="渠道与素材" sheetId="3" state="visible" r:id="rId3"/>
    <sheet name="每日结果回填" sheetId="4" state="visible" r:id="rId4"/>
    <sheet name="数据基线-（5天推广的起跑线，开始执行后不要覆盖或修改）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/mm/dd"/>
    <numFmt numFmtId="165" formatCode="&quot;$&quot;#,##0.00"/>
    <numFmt numFmtId="166" formatCode="0.0%"/>
    <numFmt numFmtId="167" formatCode="&quot;$&quot;#,##0"/>
    <numFmt numFmtId="168" formatCode="0.0"/>
    <numFmt numFmtId="169" formatCode="&quot;$&quot;0.00"/>
  </numFmts>
  <fonts count="30">
    <font>
      <name val="Carlito"/>
      <charset val="134"/>
      <sz val="11"/>
    </font>
    <font>
      <name val="Noto Sans CJK SC"/>
      <charset val="134"/>
      <b val="1"/>
      <color rgb="FFFFFFFF"/>
      <sz val="11"/>
    </font>
    <font>
      <name val="Noto Sans CJK SC"/>
      <charset val="134"/>
      <color rgb="FF4B5563"/>
      <sz val="11"/>
    </font>
    <font>
      <name val="Noto Sans CJK SC"/>
      <charset val="134"/>
      <sz val="11"/>
    </font>
    <font>
      <name val="Noto Sans CJK SC"/>
      <charset val="134"/>
      <b val="1"/>
      <color rgb="FF4B5563"/>
      <sz val="11"/>
    </font>
    <font>
      <name val="宋体"/>
      <charset val="134"/>
      <b val="1"/>
      <color rgb="FFFFFFFF"/>
      <sz val="11"/>
    </font>
    <font>
      <name val="Noto Sans CJK SC"/>
      <charset val="134"/>
      <b val="1"/>
      <color rgb="FFC93C37"/>
      <sz val="11"/>
    </font>
    <font>
      <name val="宋体"/>
      <charset val="134"/>
      <sz val="11"/>
    </font>
    <font>
      <name val="Noto Sans CJK SC"/>
      <charset val="134"/>
      <b val="1"/>
      <color rgb="FF131A22"/>
      <sz val="11"/>
    </font>
    <font>
      <name val="宋体"/>
      <charset val="134"/>
      <b val="1"/>
      <color rgb="FF4B5563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131A22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146EB4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C93C37"/>
        <bgColor indexed="64"/>
      </patternFill>
    </fill>
    <fill>
      <patternFill patternType="solid">
        <fgColor rgb="FF1F7A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131A22"/>
      </left>
      <right/>
      <top style="thin">
        <color rgb="FF131A22"/>
      </top>
      <bottom style="thin">
        <color rgb="FF131A22"/>
      </bottom>
      <diagonal/>
    </border>
    <border>
      <left/>
      <right/>
      <top style="thin">
        <color rgb="FF131A22"/>
      </top>
      <bottom style="thin">
        <color rgb="FF131A22"/>
      </bottom>
      <diagonal/>
    </border>
    <border>
      <left/>
      <right style="thin">
        <color rgb="FF131A22"/>
      </right>
      <top style="thin">
        <color rgb="FF131A22"/>
      </top>
      <bottom style="thin">
        <color rgb="FF131A22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 style="thin">
        <color rgb="FFFF9900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31A22"/>
      </left>
      <right style="thin">
        <color rgb="FF131A22"/>
      </right>
      <top style="thin">
        <color rgb="FF131A22"/>
      </top>
      <bottom style="thin">
        <color rgb="FF131A22"/>
      </bottom>
      <diagonal/>
    </border>
    <border>
      <left/>
      <right/>
      <top style="thin">
        <color rgb="FF131A22"/>
      </top>
      <bottom/>
      <diagonal/>
    </border>
    <border>
      <left/>
      <right style="thin">
        <color rgb="FF131A22"/>
      </right>
      <top style="thin">
        <color rgb="FF131A22"/>
      </top>
      <bottom/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</borders>
  <cellStyleXfs count="50">
    <xf numFmtId="0" fontId="1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4" borderId="1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0" applyAlignment="1">
      <alignment vertical="center"/>
    </xf>
    <xf numFmtId="0" fontId="17" fillId="0" borderId="20" applyAlignment="1">
      <alignment vertical="center"/>
    </xf>
    <xf numFmtId="0" fontId="18" fillId="0" borderId="21" applyAlignment="1">
      <alignment vertical="center"/>
    </xf>
    <xf numFmtId="0" fontId="18" fillId="0" borderId="0" applyAlignment="1">
      <alignment vertical="center"/>
    </xf>
    <xf numFmtId="0" fontId="19" fillId="15" borderId="22" applyAlignment="1">
      <alignment vertical="center"/>
    </xf>
    <xf numFmtId="0" fontId="20" fillId="16" borderId="23" applyAlignment="1">
      <alignment vertical="center"/>
    </xf>
    <xf numFmtId="0" fontId="21" fillId="16" borderId="22" applyAlignment="1">
      <alignment vertical="center"/>
    </xf>
    <xf numFmtId="0" fontId="22" fillId="17" borderId="24" applyAlignment="1">
      <alignment vertical="center"/>
    </xf>
    <xf numFmtId="0" fontId="23" fillId="0" borderId="25" applyAlignment="1">
      <alignment vertical="center"/>
    </xf>
    <xf numFmtId="0" fontId="24" fillId="0" borderId="26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  <xf numFmtId="0" fontId="28" fillId="41" borderId="0" applyAlignment="1">
      <alignment vertical="center"/>
    </xf>
    <xf numFmtId="0" fontId="29" fillId="42" borderId="0" applyAlignment="1">
      <alignment vertical="center"/>
    </xf>
    <xf numFmtId="0" fontId="29" fillId="43" borderId="0" applyAlignment="1">
      <alignment vertical="center"/>
    </xf>
    <xf numFmtId="0" fontId="28" fillId="44" borderId="0" applyAlignment="1">
      <alignment vertical="center"/>
    </xf>
    <xf numFmtId="0" fontId="0" fillId="0" borderId="0"/>
  </cellStyleXfs>
  <cellXfs count="152">
    <xf numFmtId="0" fontId="0" fillId="0" borderId="0" pivotButton="0" quotePrefix="0" xfId="49"/>
    <xf numFmtId="0" fontId="1" fillId="2" borderId="1" applyAlignment="1" pivotButton="0" quotePrefix="0" xfId="49">
      <alignment horizontal="left" vertical="center" wrapText="1"/>
    </xf>
    <xf numFmtId="0" fontId="1" fillId="2" borderId="2" applyAlignment="1" pivotButton="0" quotePrefix="0" xfId="49">
      <alignment horizontal="left" vertical="center" wrapText="1"/>
    </xf>
    <xf numFmtId="0" fontId="1" fillId="2" borderId="3" applyAlignment="1" pivotButton="0" quotePrefix="0" xfId="49">
      <alignment horizontal="left" vertical="center" wrapText="1"/>
    </xf>
    <xf numFmtId="0" fontId="2" fillId="3" borderId="0" applyAlignment="1" pivotButton="0" quotePrefix="0" xfId="49">
      <alignment vertical="center" wrapText="1"/>
    </xf>
    <xf numFmtId="0" fontId="3" fillId="0" borderId="0" pivotButton="0" quotePrefix="0" xfId="49"/>
    <xf numFmtId="0" fontId="1" fillId="4" borderId="4" applyAlignment="1" pivotButton="0" quotePrefix="0" xfId="49">
      <alignment horizontal="center" vertical="center" wrapText="1"/>
    </xf>
    <xf numFmtId="164" fontId="3" fillId="5" borderId="4" applyAlignment="1" pivotButton="0" quotePrefix="0" xfId="49">
      <alignment horizontal="center" vertical="center" wrapText="1"/>
    </xf>
    <xf numFmtId="165" fontId="3" fillId="5" borderId="4" applyAlignment="1" pivotButton="0" quotePrefix="0" xfId="49">
      <alignment horizontal="center" vertical="center" wrapText="1"/>
    </xf>
    <xf numFmtId="0" fontId="3" fillId="5" borderId="4" applyAlignment="1" pivotButton="0" quotePrefix="0" xfId="49">
      <alignment horizontal="center" vertical="center" wrapText="1"/>
    </xf>
    <xf numFmtId="166" fontId="3" fillId="5" borderId="4" applyAlignment="1" pivotButton="0" quotePrefix="0" xfId="49">
      <alignment horizontal="center" vertical="center" wrapText="1"/>
    </xf>
    <xf numFmtId="164" fontId="3" fillId="6" borderId="4" applyAlignment="1" pivotButton="0" quotePrefix="0" xfId="49">
      <alignment horizontal="center" vertical="center" wrapText="1"/>
    </xf>
    <xf numFmtId="165" fontId="3" fillId="6" borderId="4" applyAlignment="1" pivotButton="0" quotePrefix="0" xfId="49">
      <alignment horizontal="center" vertical="center" wrapText="1"/>
    </xf>
    <xf numFmtId="0" fontId="3" fillId="6" borderId="4" applyAlignment="1" pivotButton="0" quotePrefix="0" xfId="49">
      <alignment horizontal="center" vertical="center" wrapText="1"/>
    </xf>
    <xf numFmtId="166" fontId="3" fillId="6" borderId="4" applyAlignment="1" pivotButton="0" quotePrefix="0" xfId="49">
      <alignment horizontal="center" vertical="center" wrapText="1"/>
    </xf>
    <xf numFmtId="0" fontId="1" fillId="7" borderId="5" applyAlignment="1" pivotButton="0" quotePrefix="0" xfId="49">
      <alignment horizontal="left" vertical="center" wrapText="1"/>
    </xf>
    <xf numFmtId="0" fontId="1" fillId="7" borderId="6" applyAlignment="1" pivotButton="0" quotePrefix="0" xfId="49">
      <alignment horizontal="left" vertical="center" wrapText="1"/>
    </xf>
    <xf numFmtId="0" fontId="1" fillId="7" borderId="7" applyAlignment="1" pivotButton="0" quotePrefix="0" xfId="49">
      <alignment horizontal="left" vertical="center" wrapText="1"/>
    </xf>
    <xf numFmtId="0" fontId="4" fillId="8" borderId="8" applyAlignment="1" pivotButton="0" quotePrefix="0" xfId="49">
      <alignment vertical="center" wrapText="1"/>
    </xf>
    <xf numFmtId="0" fontId="4" fillId="8" borderId="9" applyAlignment="1" pivotButton="0" quotePrefix="0" xfId="49">
      <alignment vertical="center" wrapText="1"/>
    </xf>
    <xf numFmtId="0" fontId="4" fillId="8" borderId="10" applyAlignment="1" pivotButton="0" quotePrefix="0" xfId="49">
      <alignment vertical="center" wrapText="1"/>
    </xf>
    <xf numFmtId="0" fontId="3" fillId="0" borderId="4" applyAlignment="1" pivotButton="0" quotePrefix="0" xfId="49">
      <alignment horizontal="left" vertical="center" wrapText="1"/>
    </xf>
    <xf numFmtId="0" fontId="4" fillId="8" borderId="11" applyAlignment="1" pivotButton="0" quotePrefix="0" xfId="49">
      <alignment vertical="center" wrapText="1"/>
    </xf>
    <xf numFmtId="0" fontId="4" fillId="8" borderId="0" applyAlignment="1" pivotButton="0" quotePrefix="0" xfId="49">
      <alignment vertical="center" wrapText="1"/>
    </xf>
    <xf numFmtId="0" fontId="4" fillId="8" borderId="12" applyAlignment="1" pivotButton="0" quotePrefix="0" xfId="49">
      <alignment vertical="center" wrapText="1"/>
    </xf>
    <xf numFmtId="166" fontId="3" fillId="0" borderId="4" applyAlignment="1" pivotButton="0" quotePrefix="0" xfId="49">
      <alignment horizontal="left" vertical="center" wrapText="1"/>
    </xf>
    <xf numFmtId="0" fontId="4" fillId="8" borderId="13" applyAlignment="1" pivotButton="0" quotePrefix="0" xfId="49">
      <alignment vertical="center" wrapText="1"/>
    </xf>
    <xf numFmtId="0" fontId="4" fillId="8" borderId="14" applyAlignment="1" pivotButton="0" quotePrefix="0" xfId="49">
      <alignment vertical="center" wrapText="1"/>
    </xf>
    <xf numFmtId="0" fontId="4" fillId="8" borderId="15" applyAlignment="1" pivotButton="0" quotePrefix="0" xfId="49">
      <alignment vertical="center" wrapText="1"/>
    </xf>
    <xf numFmtId="0" fontId="5" fillId="4" borderId="4" applyAlignment="1" pivotButton="0" quotePrefix="0" xfId="49">
      <alignment horizontal="center" vertical="center" wrapText="1"/>
    </xf>
    <xf numFmtId="164" fontId="3" fillId="0" borderId="4" applyAlignment="1" pivotButton="0" quotePrefix="0" xfId="49">
      <alignment horizontal="center" vertical="center" wrapText="1"/>
    </xf>
    <xf numFmtId="0" fontId="3" fillId="0" borderId="4" applyAlignment="1" pivotButton="0" quotePrefix="0" xfId="49">
      <alignment horizontal="center" vertical="center" wrapText="1"/>
    </xf>
    <xf numFmtId="0" fontId="3" fillId="9" borderId="4" applyAlignment="1" pivotButton="0" quotePrefix="0" xfId="49">
      <alignment horizontal="center" vertical="center" wrapText="1"/>
    </xf>
    <xf numFmtId="9" fontId="3" fillId="0" borderId="4" applyAlignment="1" pivotButton="0" quotePrefix="0" xfId="49">
      <alignment horizontal="center" vertical="center" wrapText="1"/>
    </xf>
    <xf numFmtId="165" fontId="3" fillId="9" borderId="4" applyAlignment="1" pivotButton="0" quotePrefix="0" xfId="49">
      <alignment horizontal="center" vertical="center" wrapText="1"/>
    </xf>
    <xf numFmtId="166" fontId="3" fillId="0" borderId="4" applyAlignment="1" pivotButton="0" quotePrefix="0" xfId="49">
      <alignment horizontal="center" vertical="center" wrapText="1"/>
    </xf>
    <xf numFmtId="0" fontId="3" fillId="5" borderId="4" applyAlignment="1" pivotButton="0" quotePrefix="0" xfId="49">
      <alignment horizontal="left" vertical="center" wrapText="1"/>
    </xf>
    <xf numFmtId="0" fontId="3" fillId="3" borderId="4" applyAlignment="1" pivotButton="0" quotePrefix="0" xfId="49">
      <alignment horizontal="left" vertical="center" wrapText="1"/>
    </xf>
    <xf numFmtId="0" fontId="3" fillId="9" borderId="4" applyAlignment="1" pivotButton="0" quotePrefix="0" xfId="49">
      <alignment horizontal="left" vertical="center" wrapText="1"/>
    </xf>
    <xf numFmtId="0" fontId="6" fillId="6" borderId="0" applyAlignment="1" pivotButton="0" quotePrefix="0" xfId="49">
      <alignment vertical="center" wrapText="1"/>
    </xf>
    <xf numFmtId="0" fontId="4" fillId="3" borderId="0" applyAlignment="1" pivotButton="0" quotePrefix="0" xfId="49">
      <alignment vertical="center" wrapText="1"/>
    </xf>
    <xf numFmtId="0" fontId="3" fillId="6" borderId="4" applyAlignment="1" pivotButton="0" quotePrefix="0" xfId="49">
      <alignment horizontal="left" vertical="center" wrapText="1"/>
    </xf>
    <xf numFmtId="0" fontId="7" fillId="6" borderId="4" applyAlignment="1" pivotButton="0" quotePrefix="0" xfId="49">
      <alignment horizontal="left" vertical="center" wrapText="1"/>
    </xf>
    <xf numFmtId="167" fontId="3" fillId="10" borderId="4" applyAlignment="1" pivotButton="0" quotePrefix="0" xfId="49">
      <alignment horizontal="center" vertical="center" wrapText="1"/>
    </xf>
    <xf numFmtId="1" fontId="3" fillId="10" borderId="4" applyAlignment="1" pivotButton="0" quotePrefix="0" xfId="49">
      <alignment horizontal="center" vertical="center" wrapText="1"/>
    </xf>
    <xf numFmtId="9" fontId="3" fillId="10" borderId="4" applyAlignment="1" pivotButton="0" quotePrefix="0" xfId="49">
      <alignment horizontal="center" vertical="center" wrapText="1"/>
    </xf>
    <xf numFmtId="0" fontId="3" fillId="3" borderId="4" applyAlignment="1" pivotButton="0" quotePrefix="0" xfId="49">
      <alignment horizontal="center" vertical="center" wrapText="1"/>
    </xf>
    <xf numFmtId="164" fontId="3" fillId="3" borderId="4" applyAlignment="1" pivotButton="0" quotePrefix="0" xfId="49">
      <alignment horizontal="center" vertical="center" wrapText="1"/>
    </xf>
    <xf numFmtId="165" fontId="3" fillId="3" borderId="4" applyAlignment="1" pivotButton="0" quotePrefix="0" xfId="49">
      <alignment horizontal="center" vertical="center" wrapText="1"/>
    </xf>
    <xf numFmtId="0" fontId="3" fillId="11" borderId="4" applyAlignment="1" pivotButton="0" quotePrefix="0" xfId="49">
      <alignment horizontal="center" vertical="center" wrapText="1"/>
    </xf>
    <xf numFmtId="164" fontId="3" fillId="11" borderId="4" applyAlignment="1" pivotButton="0" quotePrefix="0" xfId="49">
      <alignment horizontal="center" vertical="center" wrapText="1"/>
    </xf>
    <xf numFmtId="0" fontId="3" fillId="11" borderId="4" applyAlignment="1" pivotButton="0" quotePrefix="0" xfId="49">
      <alignment horizontal="left" vertical="center" wrapText="1"/>
    </xf>
    <xf numFmtId="165" fontId="3" fillId="11" borderId="4" applyAlignment="1" pivotButton="0" quotePrefix="0" xfId="49">
      <alignment horizontal="center" vertical="center" wrapText="1"/>
    </xf>
    <xf numFmtId="0" fontId="1" fillId="4" borderId="0" applyAlignment="1" pivotButton="0" quotePrefix="0" xfId="49">
      <alignment horizontal="center" vertical="center" wrapText="1"/>
    </xf>
    <xf numFmtId="0" fontId="1" fillId="12" borderId="0" applyAlignment="1" pivotButton="0" quotePrefix="0" xfId="49">
      <alignment horizontal="center" vertical="center" wrapText="1"/>
    </xf>
    <xf numFmtId="0" fontId="1" fillId="13" borderId="0" applyAlignment="1" pivotButton="0" quotePrefix="0" xfId="49">
      <alignment horizontal="center" vertical="center" wrapText="1"/>
    </xf>
    <xf numFmtId="0" fontId="4" fillId="0" borderId="4" applyAlignment="1" pivotButton="0" quotePrefix="0" xfId="49">
      <alignment horizontal="left" vertical="center" wrapText="1"/>
    </xf>
    <xf numFmtId="168" fontId="8" fillId="5" borderId="8" applyAlignment="1" pivotButton="0" quotePrefix="0" xfId="49">
      <alignment horizontal="center" vertical="center"/>
    </xf>
    <xf numFmtId="168" fontId="8" fillId="5" borderId="10" applyAlignment="1" pivotButton="0" quotePrefix="0" xfId="49">
      <alignment horizontal="center" vertical="center"/>
    </xf>
    <xf numFmtId="166" fontId="8" fillId="5" borderId="8" applyAlignment="1" pivotButton="0" quotePrefix="0" xfId="49">
      <alignment horizontal="center" vertical="center"/>
    </xf>
    <xf numFmtId="166" fontId="8" fillId="5" borderId="10" applyAlignment="1" pivotButton="0" quotePrefix="0" xfId="49">
      <alignment horizontal="center" vertical="center"/>
    </xf>
    <xf numFmtId="168" fontId="8" fillId="6" borderId="8" applyAlignment="1" pivotButton="0" quotePrefix="0" xfId="49">
      <alignment horizontal="center" vertical="center"/>
    </xf>
    <xf numFmtId="168" fontId="8" fillId="6" borderId="10" applyAlignment="1" pivotButton="0" quotePrefix="0" xfId="49">
      <alignment horizontal="center" vertical="center"/>
    </xf>
    <xf numFmtId="1" fontId="8" fillId="11" borderId="8" applyAlignment="1" pivotButton="0" quotePrefix="0" xfId="49">
      <alignment horizontal="center" vertical="center"/>
    </xf>
    <xf numFmtId="1" fontId="8" fillId="11" borderId="10" applyAlignment="1" pivotButton="0" quotePrefix="0" xfId="49">
      <alignment horizontal="center" vertical="center"/>
    </xf>
    <xf numFmtId="168" fontId="8" fillId="5" borderId="11" applyAlignment="1" pivotButton="0" quotePrefix="0" xfId="49">
      <alignment horizontal="center" vertical="center"/>
    </xf>
    <xf numFmtId="168" fontId="8" fillId="5" borderId="12" applyAlignment="1" pivotButton="0" quotePrefix="0" xfId="49">
      <alignment horizontal="center" vertical="center"/>
    </xf>
    <xf numFmtId="166" fontId="8" fillId="5" borderId="11" applyAlignment="1" pivotButton="0" quotePrefix="0" xfId="49">
      <alignment horizontal="center" vertical="center"/>
    </xf>
    <xf numFmtId="166" fontId="8" fillId="5" borderId="12" applyAlignment="1" pivotButton="0" quotePrefix="0" xfId="49">
      <alignment horizontal="center" vertical="center"/>
    </xf>
    <xf numFmtId="168" fontId="8" fillId="6" borderId="11" applyAlignment="1" pivotButton="0" quotePrefix="0" xfId="49">
      <alignment horizontal="center" vertical="center"/>
    </xf>
    <xf numFmtId="168" fontId="8" fillId="6" borderId="12" applyAlignment="1" pivotButton="0" quotePrefix="0" xfId="49">
      <alignment horizontal="center" vertical="center"/>
    </xf>
    <xf numFmtId="1" fontId="8" fillId="11" borderId="11" applyAlignment="1" pivotButton="0" quotePrefix="0" xfId="49">
      <alignment horizontal="center" vertical="center"/>
    </xf>
    <xf numFmtId="1" fontId="8" fillId="11" borderId="12" applyAlignment="1" pivotButton="0" quotePrefix="0" xfId="49">
      <alignment horizontal="center" vertical="center"/>
    </xf>
    <xf numFmtId="164" fontId="3" fillId="9" borderId="4" applyAlignment="1" pivotButton="0" quotePrefix="0" xfId="49">
      <alignment horizontal="left" vertical="center" wrapText="1"/>
    </xf>
    <xf numFmtId="168" fontId="8" fillId="5" borderId="13" applyAlignment="1" pivotButton="0" quotePrefix="0" xfId="49">
      <alignment horizontal="center" vertical="center"/>
    </xf>
    <xf numFmtId="168" fontId="8" fillId="5" borderId="15" applyAlignment="1" pivotButton="0" quotePrefix="0" xfId="49">
      <alignment horizontal="center" vertical="center"/>
    </xf>
    <xf numFmtId="166" fontId="8" fillId="5" borderId="13" applyAlignment="1" pivotButton="0" quotePrefix="0" xfId="49">
      <alignment horizontal="center" vertical="center"/>
    </xf>
    <xf numFmtId="166" fontId="8" fillId="5" borderId="15" applyAlignment="1" pivotButton="0" quotePrefix="0" xfId="49">
      <alignment horizontal="center" vertical="center"/>
    </xf>
    <xf numFmtId="168" fontId="8" fillId="6" borderId="13" applyAlignment="1" pivotButton="0" quotePrefix="0" xfId="49">
      <alignment horizontal="center" vertical="center"/>
    </xf>
    <xf numFmtId="168" fontId="8" fillId="6" borderId="15" applyAlignment="1" pivotButton="0" quotePrefix="0" xfId="49">
      <alignment horizontal="center" vertical="center"/>
    </xf>
    <xf numFmtId="1" fontId="8" fillId="11" borderId="13" applyAlignment="1" pivotButton="0" quotePrefix="0" xfId="49">
      <alignment horizontal="center" vertical="center"/>
    </xf>
    <xf numFmtId="1" fontId="8" fillId="11" borderId="15" applyAlignment="1" pivotButton="0" quotePrefix="0" xfId="49">
      <alignment horizontal="center" vertical="center"/>
    </xf>
    <xf numFmtId="169" fontId="3" fillId="9" borderId="4" applyAlignment="1" pivotButton="0" quotePrefix="0" xfId="49">
      <alignment horizontal="left" vertical="center" wrapText="1"/>
    </xf>
    <xf numFmtId="9" fontId="3" fillId="9" borderId="4" applyAlignment="1" pivotButton="0" quotePrefix="0" xfId="49">
      <alignment horizontal="left" vertical="center" wrapText="1"/>
    </xf>
    <xf numFmtId="0" fontId="4" fillId="8" borderId="16" applyAlignment="1" pivotButton="0" quotePrefix="0" xfId="49">
      <alignment vertical="center" wrapText="1"/>
    </xf>
    <xf numFmtId="0" fontId="4" fillId="8" borderId="17" applyAlignment="1" pivotButton="0" quotePrefix="0" xfId="49">
      <alignment vertical="center" wrapText="1"/>
    </xf>
    <xf numFmtId="0" fontId="4" fillId="8" borderId="18" applyAlignment="1" pivotButton="0" quotePrefix="0" xfId="49">
      <alignment vertical="center" wrapText="1"/>
    </xf>
    <xf numFmtId="167" fontId="3" fillId="5" borderId="4" applyAlignment="1" pivotButton="0" quotePrefix="0" xfId="49">
      <alignment horizontal="left" vertical="center" wrapText="1"/>
    </xf>
    <xf numFmtId="0" fontId="9" fillId="3" borderId="8" applyAlignment="1" pivotButton="0" quotePrefix="0" xfId="49">
      <alignment vertical="center" wrapText="1"/>
    </xf>
    <xf numFmtId="0" fontId="4" fillId="3" borderId="9" applyAlignment="1" pivotButton="0" quotePrefix="0" xfId="49">
      <alignment vertical="center" wrapText="1"/>
    </xf>
    <xf numFmtId="0" fontId="4" fillId="3" borderId="10" applyAlignment="1" pivotButton="0" quotePrefix="0" xfId="49">
      <alignment vertical="center" wrapText="1"/>
    </xf>
    <xf numFmtId="0" fontId="4" fillId="3" borderId="11" applyAlignment="1" pivotButton="0" quotePrefix="0" xfId="49">
      <alignment vertical="center" wrapText="1"/>
    </xf>
    <xf numFmtId="0" fontId="4" fillId="3" borderId="12" applyAlignment="1" pivotButton="0" quotePrefix="0" xfId="49">
      <alignment vertical="center" wrapText="1"/>
    </xf>
    <xf numFmtId="0" fontId="4" fillId="3" borderId="13" applyAlignment="1" pivotButton="0" quotePrefix="0" xfId="49">
      <alignment vertical="center" wrapText="1"/>
    </xf>
    <xf numFmtId="0" fontId="4" fillId="3" borderId="14" applyAlignment="1" pivotButton="0" quotePrefix="0" xfId="49">
      <alignment vertical="center" wrapText="1"/>
    </xf>
    <xf numFmtId="0" fontId="4" fillId="3" borderId="15" applyAlignment="1" pivotButton="0" quotePrefix="0" xfId="49">
      <alignment vertical="center" wrapText="1"/>
    </xf>
    <xf numFmtId="168" fontId="3" fillId="6" borderId="4" applyAlignment="1" pivotButton="0" quotePrefix="0" xfId="49">
      <alignment horizontal="left" vertical="center" wrapText="1"/>
    </xf>
    <xf numFmtId="9" fontId="3" fillId="6" borderId="4" applyAlignment="1" pivotButton="0" quotePrefix="0" xfId="49">
      <alignment horizontal="left" vertical="center" wrapText="1"/>
    </xf>
    <xf numFmtId="167" fontId="3" fillId="6" borderId="4" applyAlignment="1" pivotButton="0" quotePrefix="0" xfId="49">
      <alignment horizontal="left" vertical="center" wrapText="1"/>
    </xf>
    <xf numFmtId="168" fontId="3" fillId="3" borderId="4" applyAlignment="1" pivotButton="0" quotePrefix="0" xfId="49">
      <alignment horizontal="left" vertical="center" wrapText="1"/>
    </xf>
    <xf numFmtId="9" fontId="3" fillId="3" borderId="4" applyAlignment="1" pivotButton="0" quotePrefix="0" xfId="49">
      <alignment horizontal="left" vertical="center" wrapText="1"/>
    </xf>
    <xf numFmtId="167" fontId="3" fillId="3" borderId="4" applyAlignment="1" pivotButton="0" quotePrefix="0" xfId="49">
      <alignment horizontal="left" vertical="center" wrapText="1"/>
    </xf>
    <xf numFmtId="168" fontId="3" fillId="11" borderId="4" applyAlignment="1" pivotButton="0" quotePrefix="0" xfId="49">
      <alignment horizontal="left" vertical="center" wrapText="1"/>
    </xf>
    <xf numFmtId="9" fontId="3" fillId="11" borderId="4" applyAlignment="1" pivotButton="0" quotePrefix="0" xfId="49">
      <alignment horizontal="left" vertical="center" wrapText="1"/>
    </xf>
    <xf numFmtId="167" fontId="3" fillId="11" borderId="4" applyAlignment="1" pivotButton="0" quotePrefix="0" xfId="49">
      <alignment horizontal="left" vertical="center" wrapText="1"/>
    </xf>
    <xf numFmtId="1" fontId="3" fillId="5" borderId="4" applyAlignment="1" pivotButton="0" quotePrefix="0" xfId="49">
      <alignment horizontal="center" vertical="center" wrapText="1"/>
    </xf>
    <xf numFmtId="0" fontId="0" fillId="0" borderId="0" pivotButton="0" quotePrefix="0" xfId="0"/>
    <xf numFmtId="0" fontId="1" fillId="2" borderId="27" applyAlignment="1" pivotButton="0" quotePrefix="0" xfId="49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7" borderId="30" applyAlignment="1" pivotButton="0" quotePrefix="0" xfId="49">
      <alignment horizontal="left" vertical="center" wrapText="1"/>
    </xf>
    <xf numFmtId="0" fontId="0" fillId="0" borderId="7" pivotButton="0" quotePrefix="0" xfId="0"/>
    <xf numFmtId="168" fontId="8" fillId="5" borderId="4" applyAlignment="1" pivotButton="0" quotePrefix="0" xfId="49">
      <alignment horizontal="center" vertical="center"/>
    </xf>
    <xf numFmtId="0" fontId="0" fillId="0" borderId="10" pivotButton="0" quotePrefix="0" xfId="0"/>
    <xf numFmtId="166" fontId="8" fillId="5" borderId="4" applyAlignment="1" pivotButton="0" quotePrefix="0" xfId="49">
      <alignment horizontal="center" vertical="center"/>
    </xf>
    <xf numFmtId="168" fontId="8" fillId="6" borderId="4" applyAlignment="1" pivotButton="0" quotePrefix="0" xfId="49">
      <alignment horizontal="center" vertical="center"/>
    </xf>
    <xf numFmtId="1" fontId="8" fillId="11" borderId="4" applyAlignment="1" pivotButton="0" quotePrefix="0" xfId="49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3" fillId="9" borderId="4" applyAlignment="1" pivotButton="0" quotePrefix="0" xfId="49">
      <alignment horizontal="left" vertical="center" wrapText="1"/>
    </xf>
    <xf numFmtId="0" fontId="0" fillId="0" borderId="13" pivotButton="0" quotePrefix="0" xfId="0"/>
    <xf numFmtId="0" fontId="0" fillId="0" borderId="15" pivotButton="0" quotePrefix="0" xfId="0"/>
    <xf numFmtId="169" fontId="3" fillId="9" borderId="4" applyAlignment="1" pivotButton="0" quotePrefix="0" xfId="49">
      <alignment horizontal="left" vertical="center" wrapText="1"/>
    </xf>
    <xf numFmtId="0" fontId="4" fillId="8" borderId="4" applyAlignment="1" pivotButton="0" quotePrefix="0" xfId="49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167" fontId="3" fillId="5" borderId="4" applyAlignment="1" pivotButton="0" quotePrefix="0" xfId="49">
      <alignment horizontal="left" vertical="center" wrapText="1"/>
    </xf>
    <xf numFmtId="0" fontId="9" fillId="3" borderId="4" applyAlignment="1" pivotButton="0" quotePrefix="0" xfId="49">
      <alignment vertical="center" wrapText="1"/>
    </xf>
    <xf numFmtId="0" fontId="0" fillId="0" borderId="9" pivotButton="0" quotePrefix="0" xfId="0"/>
    <xf numFmtId="0" fontId="0" fillId="0" borderId="14" pivotButton="0" quotePrefix="0" xfId="0"/>
    <xf numFmtId="0" fontId="0" fillId="0" borderId="6" pivotButton="0" quotePrefix="0" xfId="0"/>
    <xf numFmtId="168" fontId="3" fillId="6" borderId="4" applyAlignment="1" pivotButton="0" quotePrefix="0" xfId="49">
      <alignment horizontal="left" vertical="center" wrapText="1"/>
    </xf>
    <xf numFmtId="167" fontId="3" fillId="6" borderId="4" applyAlignment="1" pivotButton="0" quotePrefix="0" xfId="49">
      <alignment horizontal="left" vertical="center" wrapText="1"/>
    </xf>
    <xf numFmtId="168" fontId="3" fillId="3" borderId="4" applyAlignment="1" pivotButton="0" quotePrefix="0" xfId="49">
      <alignment horizontal="left" vertical="center" wrapText="1"/>
    </xf>
    <xf numFmtId="167" fontId="3" fillId="3" borderId="4" applyAlignment="1" pivotButton="0" quotePrefix="0" xfId="49">
      <alignment horizontal="left" vertical="center" wrapText="1"/>
    </xf>
    <xf numFmtId="168" fontId="3" fillId="11" borderId="4" applyAlignment="1" pivotButton="0" quotePrefix="0" xfId="49">
      <alignment horizontal="left" vertical="center" wrapText="1"/>
    </xf>
    <xf numFmtId="167" fontId="3" fillId="11" borderId="4" applyAlignment="1" pivotButton="0" quotePrefix="0" xfId="49">
      <alignment horizontal="left" vertical="center" wrapText="1"/>
    </xf>
    <xf numFmtId="165" fontId="3" fillId="5" borderId="4" applyAlignment="1" pivotButton="0" quotePrefix="0" xfId="49">
      <alignment horizontal="center" vertical="center" wrapText="1"/>
    </xf>
    <xf numFmtId="166" fontId="3" fillId="5" borderId="4" applyAlignment="1" pivotButton="0" quotePrefix="0" xfId="49">
      <alignment horizontal="center" vertical="center" wrapText="1"/>
    </xf>
    <xf numFmtId="164" fontId="3" fillId="6" borderId="4" applyAlignment="1" pivotButton="0" quotePrefix="0" xfId="49">
      <alignment horizontal="center" vertical="center" wrapText="1"/>
    </xf>
    <xf numFmtId="167" fontId="3" fillId="10" borderId="4" applyAlignment="1" pivotButton="0" quotePrefix="0" xfId="49">
      <alignment horizontal="center" vertical="center" wrapText="1"/>
    </xf>
    <xf numFmtId="165" fontId="3" fillId="6" borderId="4" applyAlignment="1" pivotButton="0" quotePrefix="0" xfId="49">
      <alignment horizontal="center" vertical="center" wrapText="1"/>
    </xf>
    <xf numFmtId="164" fontId="3" fillId="3" borderId="4" applyAlignment="1" pivotButton="0" quotePrefix="0" xfId="49">
      <alignment horizontal="center" vertical="center" wrapText="1"/>
    </xf>
    <xf numFmtId="165" fontId="3" fillId="3" borderId="4" applyAlignment="1" pivotButton="0" quotePrefix="0" xfId="49">
      <alignment horizontal="center" vertical="center" wrapText="1"/>
    </xf>
    <xf numFmtId="164" fontId="3" fillId="11" borderId="4" applyAlignment="1" pivotButton="0" quotePrefix="0" xfId="49">
      <alignment horizontal="center" vertical="center" wrapText="1"/>
    </xf>
    <xf numFmtId="165" fontId="3" fillId="11" borderId="4" applyAlignment="1" pivotButton="0" quotePrefix="0" xfId="49">
      <alignment horizontal="center" vertical="center" wrapText="1"/>
    </xf>
    <xf numFmtId="164" fontId="3" fillId="0" borderId="4" applyAlignment="1" pivotButton="0" quotePrefix="0" xfId="49">
      <alignment horizontal="center" vertical="center" wrapText="1"/>
    </xf>
    <xf numFmtId="165" fontId="3" fillId="9" borderId="4" applyAlignment="1" pivotButton="0" quotePrefix="0" xfId="49">
      <alignment horizontal="center" vertical="center" wrapText="1"/>
    </xf>
    <xf numFmtId="166" fontId="3" fillId="0" borderId="4" applyAlignment="1" pivotButton="0" quotePrefix="0" xfId="49">
      <alignment horizontal="center" vertical="center" wrapText="1"/>
    </xf>
    <xf numFmtId="164" fontId="3" fillId="5" borderId="4" applyAlignment="1" pivotButton="0" quotePrefix="0" xfId="49">
      <alignment horizontal="center" vertical="center" wrapText="1"/>
    </xf>
    <xf numFmtId="166" fontId="3" fillId="6" borderId="4" applyAlignment="1" pivotButton="0" quotePrefix="0" xfId="49">
      <alignment horizontal="center" vertical="center" wrapText="1"/>
    </xf>
    <xf numFmtId="166" fontId="3" fillId="0" borderId="4" applyAlignment="1" pivotButton="0" quotePrefix="0" xfId="49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F7A4D"/>
      </font>
      <fill>
        <patternFill patternType="solid">
          <bgColor rgb="FFE8F5EC"/>
        </patternFill>
      </fill>
    </dxf>
    <dxf>
      <font>
        <b val="1"/>
        <color rgb="FFC93C37"/>
      </font>
      <fill>
        <patternFill patternType="solid">
          <bgColor rgb="FFFDECEC"/>
        </patternFill>
      </fill>
    </dxf>
    <dxf>
      <font>
        <b val="1"/>
        <color rgb="FF4B5563"/>
      </font>
      <fill>
        <patternFill patternType="solid">
          <bgColor rgb="FFFFF4E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B10" sqref="B10"/>
    </sheetView>
  </sheetViews>
  <sheetFormatPr baseColWidth="8" defaultColWidth="9" defaultRowHeight="14"/>
  <cols>
    <col width="18" customWidth="1" style="106" min="1" max="1"/>
    <col width="20" customWidth="1" style="106" min="2" max="2"/>
    <col width="14" customWidth="1" style="106" min="3" max="4"/>
    <col width="13" customWidth="1" style="106" min="5" max="5"/>
    <col width="14" customWidth="1" style="106" min="6" max="8"/>
    <col width="30" customWidth="1" style="106" min="9" max="10"/>
    <col width="13" customWidth="1" style="106" min="11" max="14"/>
  </cols>
  <sheetData>
    <row r="1" ht="34" customHeight="1" s="106">
      <c r="A1" s="107" t="inlineStr">
        <is>
          <t>M080PRO 磁吸自拍杆｜新品推广总览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9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 ht="25" customHeight="1" s="106">
      <c r="A3" s="110" t="inlineStr">
        <is>
          <t>推广参数（黄色可改）</t>
        </is>
      </c>
      <c r="B3" s="111" t="n"/>
      <c r="C3" s="5" t="n"/>
      <c r="D3" s="53" t="inlineStr">
        <is>
          <t>最近5天日均会话</t>
        </is>
      </c>
      <c r="F3" s="53" t="inlineStr">
        <is>
          <t>最近5天日均订单</t>
        </is>
      </c>
      <c r="H3" s="53" t="inlineStr">
        <is>
          <t>最近5天总CVR</t>
        </is>
      </c>
      <c r="J3" s="54" t="inlineStr">
        <is>
          <t>最近2天日均会话</t>
        </is>
      </c>
      <c r="L3" s="55" t="inlineStr">
        <is>
          <t>D15目标会话</t>
        </is>
      </c>
      <c r="N3" s="5" t="n"/>
    </row>
    <row r="4" ht="25" customHeight="1" s="106">
      <c r="A4" s="56" t="inlineStr">
        <is>
          <t>SKU</t>
        </is>
      </c>
      <c r="B4" s="38" t="inlineStr">
        <is>
          <t>M080PRO</t>
        </is>
      </c>
      <c r="C4" s="5" t="n"/>
      <c r="D4" s="112">
        <f>AVERAGE('数据基线-（5天推广的起跑线，开始执行后不要覆盖或修改）'!G5:G9)</f>
        <v/>
      </c>
      <c r="E4" s="113" t="n"/>
      <c r="F4" s="112">
        <f>AVERAGE('数据基线-（5天推广的起跑线，开始执行后不要覆盖或修改）'!F5:F9)</f>
        <v/>
      </c>
      <c r="G4" s="113" t="n"/>
      <c r="H4" s="114">
        <f>SUM('数据基线-（5天推广的起跑线，开始执行后不要覆盖或修改）'!F5:F9)/SUM('数据基线-（5天推广的起跑线，开始执行后不要覆盖或修改）'!G5:G9)</f>
        <v/>
      </c>
      <c r="I4" s="113" t="n"/>
      <c r="J4" s="115">
        <f>AVERAGE('数据基线-（5天推广的起跑线，开始执行后不要覆盖或修改）'!G8:G9)</f>
        <v/>
      </c>
      <c r="K4" s="113" t="n"/>
      <c r="L4" s="116">
        <f>'15天推广计划'!K19</f>
        <v/>
      </c>
      <c r="M4" s="113" t="n"/>
      <c r="N4" s="5" t="n"/>
    </row>
    <row r="5" ht="25" customHeight="1" s="106">
      <c r="A5" s="56" t="inlineStr">
        <is>
          <t>产品</t>
        </is>
      </c>
      <c r="B5" s="38" t="inlineStr">
        <is>
          <t>磁吸自拍杆</t>
        </is>
      </c>
      <c r="C5" s="5" t="n"/>
      <c r="D5" s="117" t="n"/>
      <c r="E5" s="118" t="n"/>
      <c r="F5" s="117" t="n"/>
      <c r="G5" s="118" t="n"/>
      <c r="H5" s="117" t="n"/>
      <c r="I5" s="118" t="n"/>
      <c r="J5" s="117" t="n"/>
      <c r="K5" s="118" t="n"/>
      <c r="L5" s="117" t="n"/>
      <c r="M5" s="118" t="n"/>
      <c r="N5" s="5" t="n"/>
    </row>
    <row r="6" ht="25" customHeight="1" s="106">
      <c r="A6" s="56" t="inlineStr">
        <is>
          <t>计划开始日期</t>
        </is>
      </c>
      <c r="B6" s="119" t="n">
        <v>46266</v>
      </c>
      <c r="C6" s="5" t="n"/>
      <c r="D6" s="120" t="n"/>
      <c r="E6" s="121" t="n"/>
      <c r="F6" s="120" t="n"/>
      <c r="G6" s="121" t="n"/>
      <c r="H6" s="120" t="n"/>
      <c r="I6" s="121" t="n"/>
      <c r="J6" s="120" t="n"/>
      <c r="K6" s="121" t="n"/>
      <c r="L6" s="120" t="n"/>
      <c r="M6" s="121" t="n"/>
      <c r="N6" s="5" t="n"/>
    </row>
    <row r="7" ht="25" customHeight="1" s="106">
      <c r="A7" s="56" t="inlineStr">
        <is>
          <t>售价</t>
        </is>
      </c>
      <c r="B7" s="122" t="n">
        <v>23.99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5" customHeight="1" s="106">
      <c r="A8" s="56" t="inlineStr">
        <is>
          <t>常规Coupon</t>
        </is>
      </c>
      <c r="B8" s="83" t="n">
        <v>0.1</v>
      </c>
      <c r="C8" s="5" t="n"/>
      <c r="D8" s="123" t="inlineStr">
        <is>
          <t>核心判断：最近5天CVR约18.5%，说明产品具备成交能力；当前优先级应是扩大高质量会话。15天推广资源建议约70%用于获取流量，30%用于提升点击与转化。</t>
        </is>
      </c>
      <c r="E8" s="124" t="n"/>
      <c r="F8" s="124" t="n"/>
      <c r="G8" s="124" t="n"/>
      <c r="H8" s="124" t="n"/>
      <c r="I8" s="124" t="n"/>
      <c r="J8" s="124" t="n"/>
      <c r="K8" s="124" t="n"/>
      <c r="L8" s="124" t="n"/>
      <c r="M8" s="125" t="n"/>
      <c r="N8" s="5" t="n"/>
    </row>
    <row r="9" ht="25" customHeight="1" s="106">
      <c r="A9" s="56" t="inlineStr">
        <is>
          <t>站内广告总预算</t>
        </is>
      </c>
      <c r="B9" s="126">
        <f>SUM('15天推广计划'!I5:I19)</f>
        <v/>
      </c>
      <c r="C9" s="5" t="n"/>
      <c r="D9" s="127" t="inlineStr">
        <is>
          <t>推广主线：①用核心关键词、长尾词、竞品ASIN和亚马逊视频广告增加曝光与会话；②用主图、Coupon、A+、兼容说明和视频提高点击与转化；③最后5天把预算集中到5个核心词与最佳素材，形成销量峰值并推动自然排名。</t>
        </is>
      </c>
      <c r="E9" s="128" t="n"/>
      <c r="F9" s="128" t="n"/>
      <c r="G9" s="128" t="n"/>
      <c r="H9" s="128" t="n"/>
      <c r="I9" s="128" t="n"/>
      <c r="J9" s="128" t="n"/>
      <c r="K9" s="128" t="n"/>
      <c r="L9" s="128" t="n"/>
      <c r="M9" s="113" t="n"/>
      <c r="N9" s="5" t="n"/>
    </row>
    <row r="10" ht="25" customHeight="1" s="106">
      <c r="A10" s="56" t="inlineStr">
        <is>
          <t>站外/内容总预算</t>
        </is>
      </c>
      <c r="B10" s="126">
        <f>SUM('15天推广计划'!J5:J19)</f>
        <v/>
      </c>
      <c r="C10" s="5" t="n"/>
      <c r="D10" s="117" t="n"/>
      <c r="M10" s="118" t="n"/>
      <c r="N10" s="5" t="n"/>
    </row>
    <row r="11" ht="25" customHeight="1" s="106">
      <c r="A11" s="56" t="inlineStr">
        <is>
          <t>推广现金预算合计</t>
        </is>
      </c>
      <c r="B11" s="126">
        <f>B9+B10</f>
        <v/>
      </c>
      <c r="C11" s="5" t="n"/>
      <c r="D11" s="120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1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5" customHeight="1" s="106">
      <c r="A13" s="110" t="inlineStr">
        <is>
          <t>三个推广周期与目标</t>
        </is>
      </c>
      <c r="B13" s="130" t="n"/>
      <c r="C13" s="130" t="n"/>
      <c r="D13" s="130" t="n"/>
      <c r="E13" s="130" t="n"/>
      <c r="F13" s="130" t="n"/>
      <c r="G13" s="130" t="n"/>
      <c r="H13" s="130" t="n"/>
      <c r="I13" s="130" t="n"/>
      <c r="J13" s="130" t="n"/>
      <c r="K13" s="130" t="n"/>
      <c r="L13" s="130" t="n"/>
      <c r="M13" s="130" t="n"/>
      <c r="N13" s="111" t="n"/>
    </row>
    <row r="14" ht="38" customHeight="1" s="106">
      <c r="A14" s="6" t="inlineStr">
        <is>
          <t>周期</t>
        </is>
      </c>
      <c r="B14" s="6" t="inlineStr">
        <is>
          <t>推广重点</t>
        </is>
      </c>
      <c r="C14" s="6" t="inlineStr">
        <is>
          <t>目标日均会话</t>
        </is>
      </c>
      <c r="D14" s="6" t="inlineStr">
        <is>
          <t>目标日均订单</t>
        </is>
      </c>
      <c r="E14" s="6" t="inlineStr">
        <is>
          <t>最低CVR</t>
        </is>
      </c>
      <c r="F14" s="6" t="inlineStr">
        <is>
          <t>站内预算</t>
        </is>
      </c>
      <c r="G14" s="6" t="inlineStr">
        <is>
          <t>站外预算</t>
        </is>
      </c>
      <c r="H14" s="6" t="inlineStr">
        <is>
          <t>目标销售额</t>
        </is>
      </c>
      <c r="I14" s="6" t="inlineStr">
        <is>
          <t>进入下一周期门槛</t>
        </is>
      </c>
      <c r="J14" s="29" t="inlineStr">
        <is>
          <t>验收重点</t>
        </is>
      </c>
      <c r="K14" s="5" t="n"/>
      <c r="L14" s="5" t="n"/>
      <c r="M14" s="5" t="n"/>
      <c r="N14" s="5" t="n"/>
    </row>
    <row r="15" ht="45" customHeight="1" s="106">
      <c r="A15" s="41" t="inlineStr">
        <is>
          <t>周期1</t>
        </is>
      </c>
      <c r="B15" s="41" t="inlineStr">
        <is>
          <t>Listing＋Coupon＋核心广告＋竞品流量全部启动</t>
        </is>
      </c>
      <c r="C15" s="131">
        <f>AVERAGE('15天推广计划'!K5:K9)</f>
        <v/>
      </c>
      <c r="D15" s="131">
        <f>AVERAGE('15天推广计划'!L5:L9)</f>
        <v/>
      </c>
      <c r="E15" s="97">
        <f>'15天推广计划'!N9</f>
        <v/>
      </c>
      <c r="F15" s="132">
        <f>SUM('15天推广计划'!I5:I9)</f>
        <v/>
      </c>
      <c r="G15" s="132">
        <f>SUM('15天推广计划'!J5:J9)</f>
        <v/>
      </c>
      <c r="H15" s="132">
        <f>SUM('15天推广计划'!M5:M9)</f>
        <v/>
      </c>
      <c r="I15" s="41" t="inlineStr">
        <is>
          <t>核心素材和广告入口全部上线</t>
        </is>
      </c>
      <c r="J15" s="41" t="inlineStr">
        <is>
          <t>是否真正完成了推广基础建设</t>
        </is>
      </c>
      <c r="K15" s="5" t="n"/>
      <c r="L15" s="5" t="n"/>
      <c r="M15" s="5" t="n"/>
      <c r="N15" s="5" t="n"/>
    </row>
    <row r="16" ht="45" customHeight="1" s="106">
      <c r="A16" s="37" t="inlineStr">
        <is>
          <t>周期2</t>
        </is>
      </c>
      <c r="B16" s="37" t="inlineStr">
        <is>
          <t>放大成交词、长尾场景和亚马逊视频广告</t>
        </is>
      </c>
      <c r="C16" s="133">
        <f>AVERAGE('15天推广计划'!K10:K14)</f>
        <v/>
      </c>
      <c r="D16" s="133">
        <f>AVERAGE('15天推广计划'!L10:L14)</f>
        <v/>
      </c>
      <c r="E16" s="100">
        <f>'15天推广计划'!N14</f>
        <v/>
      </c>
      <c r="F16" s="134">
        <f>SUM('15天推广计划'!I10:I14)</f>
        <v/>
      </c>
      <c r="G16" s="134">
        <f>SUM('15天推广计划'!J10:J14)</f>
        <v/>
      </c>
      <c r="H16" s="134">
        <f>SUM('15天推广计划'!M10:M14)</f>
        <v/>
      </c>
      <c r="I16" s="37" t="inlineStr">
        <is>
          <t>日均会话≥80且整体CVR≥15%</t>
        </is>
      </c>
      <c r="J16" s="37" t="inlineStr">
        <is>
          <t>哪个渠道带来了新增订单</t>
        </is>
      </c>
      <c r="K16" s="5" t="n"/>
      <c r="L16" s="5" t="n"/>
      <c r="M16" s="5" t="n"/>
      <c r="N16" s="5" t="n"/>
    </row>
    <row r="17" ht="45" customHeight="1" s="106">
      <c r="A17" s="51" t="inlineStr">
        <is>
          <t>周期3</t>
        </is>
      </c>
      <c r="B17" s="51" t="inlineStr">
        <is>
          <t>集中预算冲5个核心词排名并制造销量高峰</t>
        </is>
      </c>
      <c r="C17" s="135">
        <f>AVERAGE('15天推广计划'!K15:K19)</f>
        <v/>
      </c>
      <c r="D17" s="135">
        <f>AVERAGE('15天推广计划'!L15:L19)</f>
        <v/>
      </c>
      <c r="E17" s="103">
        <f>'15天推广计划'!N19</f>
        <v/>
      </c>
      <c r="F17" s="136">
        <f>SUM('15天推广计划'!I15:I19)</f>
        <v/>
      </c>
      <c r="G17" s="136">
        <f>SUM('15天推广计划'!J15:J19)</f>
        <v/>
      </c>
      <c r="H17" s="136">
        <f>SUM('15天推广计划'!M15:M19)</f>
        <v/>
      </c>
      <c r="I17" s="51" t="inlineStr">
        <is>
          <t>末日会话≥120、订单≥19、CVR≥16%</t>
        </is>
      </c>
      <c r="J17" s="51" t="inlineStr">
        <is>
          <t>流量能否逐步转成自然订单</t>
        </is>
      </c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5" customHeight="1" s="106">
      <c r="A19" s="107" t="inlineStr">
        <is>
          <t>15天预计推广结果（目标，不是销量保证）</t>
        </is>
      </c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9" t="n"/>
    </row>
    <row r="20" ht="38" customHeight="1" s="106">
      <c r="A20" s="6" t="inlineStr">
        <is>
          <t>15天目标会话合计</t>
        </is>
      </c>
      <c r="B20" s="6" t="inlineStr">
        <is>
          <t>15天目标订单合计</t>
        </is>
      </c>
      <c r="C20" s="6" t="inlineStr">
        <is>
          <t>目标销售额</t>
        </is>
      </c>
      <c r="D20" s="6" t="inlineStr">
        <is>
          <t>站内预算上限</t>
        </is>
      </c>
      <c r="E20" s="6" t="inlineStr">
        <is>
          <t>站外预算上限</t>
        </is>
      </c>
      <c r="F20" s="6" t="inlineStr">
        <is>
          <t>现金预算合计</t>
        </is>
      </c>
      <c r="G20" s="6" t="inlineStr">
        <is>
          <t>现金推广费率</t>
        </is>
      </c>
      <c r="H20" s="6" t="inlineStr">
        <is>
          <t>D15目标日销量</t>
        </is>
      </c>
      <c r="I20" s="5" t="n"/>
      <c r="J20" s="5" t="n"/>
      <c r="K20" s="5" t="n"/>
      <c r="L20" s="5" t="n"/>
      <c r="M20" s="5" t="n"/>
      <c r="N20" s="5" t="n"/>
    </row>
    <row r="21" ht="34" customHeight="1" s="106">
      <c r="A21" s="105">
        <f>SUM('15天推广计划'!K5:K19)</f>
        <v/>
      </c>
      <c r="B21" s="105">
        <f>SUM('15天推广计划'!L5:L19)</f>
        <v/>
      </c>
      <c r="C21" s="137">
        <f>SUM('15天推广计划'!M5:M19)</f>
        <v/>
      </c>
      <c r="D21" s="137">
        <f>B9</f>
        <v/>
      </c>
      <c r="E21" s="137">
        <f>B10</f>
        <v/>
      </c>
      <c r="F21" s="137">
        <f>B11</f>
        <v/>
      </c>
      <c r="G21" s="138">
        <f>B11/C21</f>
        <v/>
      </c>
      <c r="H21" s="105">
        <f>'15天推广计划'!L19</f>
        <v/>
      </c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34" customHeight="1" s="106">
      <c r="A23" s="39" t="inlineStr">
        <is>
          <t>预算说明：站内广告与站外内容金额均为上限；Coupon折扣成本未计入现金预算。若毛利无法承受10%优惠，应下调Coupon，而不是用亏损订单硬冲销量。</t>
        </is>
      </c>
    </row>
  </sheetData>
  <mergeCells count="17">
    <mergeCell ref="F3:G3"/>
    <mergeCell ref="L3:M3"/>
    <mergeCell ref="J3:K3"/>
    <mergeCell ref="A3:B3"/>
    <mergeCell ref="D9:M11"/>
    <mergeCell ref="H3:I3"/>
    <mergeCell ref="D3:E3"/>
    <mergeCell ref="H4:I6"/>
    <mergeCell ref="D8:M8"/>
    <mergeCell ref="A19:N19"/>
    <mergeCell ref="F4:G6"/>
    <mergeCell ref="A23:N23"/>
    <mergeCell ref="J4:K6"/>
    <mergeCell ref="A13:N13"/>
    <mergeCell ref="D4:E6"/>
    <mergeCell ref="L4:M6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tabSelected="1" topLeftCell="E1" workbookViewId="0">
      <selection activeCell="N5" sqref="N5:N19"/>
    </sheetView>
  </sheetViews>
  <sheetFormatPr baseColWidth="8" defaultColWidth="9" defaultRowHeight="14"/>
  <cols>
    <col width="18" customWidth="1" style="106" min="1" max="1"/>
    <col width="8" customWidth="1" style="106" min="2" max="2"/>
    <col width="13" customWidth="1" style="106" min="3" max="3"/>
    <col width="21" customWidth="1" style="106" min="4" max="4"/>
    <col width="24" customWidth="1" style="106" min="5" max="5"/>
    <col width="55" customWidth="1" style="106" min="6" max="6"/>
    <col width="38" customWidth="1" style="106" min="7" max="7"/>
    <col width="36" customWidth="1" style="106" min="8" max="8"/>
    <col width="9.5" customWidth="1" style="106" min="9" max="9"/>
    <col width="9.08333333333333" customWidth="1" style="106" min="10" max="10"/>
    <col width="11" customWidth="1" style="106" min="11" max="11"/>
    <col width="8.66666666666667" customWidth="1" style="106" min="12" max="12"/>
    <col width="11.4166666666667" customWidth="1" style="106" min="13" max="13"/>
    <col width="10" customWidth="1" style="106" min="14" max="14"/>
    <col width="34" customWidth="1" style="106" min="15" max="15"/>
    <col width="28.8333333333333" customWidth="1" style="106" min="16" max="16"/>
    <col width="12" customWidth="1" style="106" min="17" max="17"/>
    <col width="11" customWidth="1" style="106" min="18" max="18"/>
  </cols>
  <sheetData>
    <row r="1" ht="34" customHeight="1" s="106">
      <c r="A1" s="107" t="inlineStr">
        <is>
          <t>M080PRO 磁吸自拍杆｜15天新品推广计划（5天 × 3周期）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9" t="n"/>
    </row>
    <row r="2" ht="34" customHeight="1" s="106">
      <c r="A2" s="40" t="inlineStr">
        <is>
          <t>本表重点：每天具体做哪些推广动作来增加曝光、点击、会话和订单。预算均为上限，不要求必须花完；只有上一周期流量和转化达到门槛，才进入下一周期扩量。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38" customHeight="1" s="106">
      <c r="A4" s="6" t="inlineStr">
        <is>
          <t>周期</t>
        </is>
      </c>
      <c r="B4" s="6" t="inlineStr">
        <is>
          <t>天数</t>
        </is>
      </c>
      <c r="C4" s="6" t="inlineStr">
        <is>
          <t>日期</t>
        </is>
      </c>
      <c r="D4" s="6" t="inlineStr">
        <is>
          <t>当天增长目标</t>
        </is>
      </c>
      <c r="E4" s="6" t="inlineStr">
        <is>
          <t>主要流量渠道</t>
        </is>
      </c>
      <c r="F4" s="6" t="inlineStr">
        <is>
          <t>具体推广动作</t>
        </is>
      </c>
      <c r="G4" s="6" t="inlineStr">
        <is>
          <t>需要完成的素材</t>
        </is>
      </c>
      <c r="H4" s="6" t="inlineStr">
        <is>
          <t>优惠/促销</t>
        </is>
      </c>
      <c r="I4" s="6" t="inlineStr">
        <is>
          <t>站内广告预算上限</t>
        </is>
      </c>
      <c r="J4" s="6" t="inlineStr">
        <is>
          <t>站外/内容预算</t>
        </is>
      </c>
      <c r="K4" s="6" t="inlineStr">
        <is>
          <t>目标会话</t>
        </is>
      </c>
      <c r="L4" s="6" t="inlineStr">
        <is>
          <t>目标订单</t>
        </is>
      </c>
      <c r="M4" s="6" t="inlineStr">
        <is>
          <t>目标销售额</t>
        </is>
      </c>
      <c r="N4" s="6" t="inlineStr">
        <is>
          <t>最低CVR</t>
        </is>
      </c>
      <c r="O4" s="6" t="inlineStr">
        <is>
          <t>预期作用</t>
        </is>
      </c>
      <c r="P4" s="6" t="inlineStr">
        <is>
          <t>员工当天交付</t>
        </is>
      </c>
      <c r="Q4" s="6" t="inlineStr">
        <is>
          <t>负责人</t>
        </is>
      </c>
      <c r="R4" s="6" t="inlineStr">
        <is>
          <t>状态</t>
        </is>
      </c>
    </row>
    <row r="5" ht="80" customHeight="1" s="106">
      <c r="A5" s="13" t="inlineStr">
        <is>
          <t>周期1｜基础启动</t>
        </is>
      </c>
      <c r="B5" s="13" t="inlineStr">
        <is>
          <t>D1</t>
        </is>
      </c>
      <c r="C5" s="139">
        <f>推广总览!$B$6+0</f>
        <v/>
      </c>
      <c r="D5" s="41" t="inlineStr">
        <is>
          <t>确定定位与关键词入口</t>
        </is>
      </c>
      <c r="E5" s="42" t="inlineStr">
        <is>
          <t>自然搜索准备＋竞品研究</t>
        </is>
      </c>
      <c r="F5" s="41" t="inlineStr">
        <is>
          <t>1）分析前20个磁吸自拍杆竞品的标题、主图、价格、评分和流量词；2）建立50个关键词库：5个核心词、20个长尾词、15个场景词、10个竞品词；3）确定主推人群与3个购买理由。</t>
        </is>
      </c>
      <c r="G5" s="41" t="inlineStr">
        <is>
          <t>竞品矩阵、50词关键词库、3条核心卖点</t>
        </is>
      </c>
      <c r="H5" s="41" t="inlineStr">
        <is>
          <t>保持当前售价；确定D3启用10% Coupon或约$3优惠（二选一，按毛利）</t>
        </is>
      </c>
      <c r="I5" s="140" t="n">
        <v>30</v>
      </c>
      <c r="J5" s="140" t="n">
        <v>0</v>
      </c>
      <c r="K5" s="44" t="n">
        <v>55</v>
      </c>
      <c r="L5" s="44" t="n">
        <v>7</v>
      </c>
      <c r="M5" s="141">
        <f>L5*推广总览!$B$7</f>
        <v/>
      </c>
      <c r="N5" s="45" t="n">
        <v>0.12</v>
      </c>
      <c r="O5" s="41" t="inlineStr">
        <is>
          <t>让后续广告、Listing和视频围绕同一购买理由，不再分散流量</t>
        </is>
      </c>
      <c r="P5" s="41" t="inlineStr">
        <is>
          <t>《竞品与关键词调研表》＋推广定位1页</t>
        </is>
      </c>
      <c r="Q5" s="32" t="inlineStr">
        <is>
          <t>运营员工</t>
        </is>
      </c>
      <c r="R5" s="32" t="inlineStr">
        <is>
          <t>未开始</t>
        </is>
      </c>
    </row>
    <row r="6" ht="80" customHeight="1" s="106">
      <c r="A6" s="13" t="inlineStr">
        <is>
          <t>周期1｜基础启动</t>
        </is>
      </c>
      <c r="B6" s="13" t="inlineStr">
        <is>
          <t>D2</t>
        </is>
      </c>
      <c r="C6" s="139">
        <f>推广总览!$B$6+1</f>
        <v/>
      </c>
      <c r="D6" s="41" t="inlineStr">
        <is>
          <t>提高搜索点击与页面转化</t>
        </is>
      </c>
      <c r="E6" s="41" t="inlineStr">
        <is>
          <t>自然搜索＋Listing转化</t>
        </is>
      </c>
      <c r="F6" s="41" t="inlineStr">
        <is>
          <t>1）标题放入1个核心品类词和2个真实优势；2）主图突出磁吸连接与产品完整形态；3）副图依次讲磁吸稳定、自拍杆长度、三脚架模式、遥控、兼容性、便携场景；4）完善A+和FAQ；5）若符合条件报名Vine，严禁返现或诱导评价。</t>
        </is>
      </c>
      <c r="G6" s="41" t="inlineStr">
        <is>
          <t>新主图1张、副图6张、A+结构、30秒视频脚本</t>
        </is>
      </c>
      <c r="H6" s="41" t="inlineStr">
        <is>
          <t>D3优惠预设完成但当天先不频繁改价</t>
        </is>
      </c>
      <c r="I6" s="140" t="n">
        <v>30</v>
      </c>
      <c r="J6" s="140" t="n">
        <v>0</v>
      </c>
      <c r="K6" s="44" t="n">
        <v>60</v>
      </c>
      <c r="L6" s="44" t="n">
        <v>8</v>
      </c>
      <c r="M6" s="141">
        <f>L6*推广总览!$B$7</f>
        <v/>
      </c>
      <c r="N6" s="45" t="n">
        <v>0.13</v>
      </c>
      <c r="O6" s="41" t="inlineStr">
        <is>
          <t>提升广告与自然搜索的CTR，并减少兼容性疑问导致的跳失</t>
        </is>
      </c>
      <c r="P6" s="41" t="inlineStr">
        <is>
          <t>Listing修改前后截图＋素材完成清单</t>
        </is>
      </c>
      <c r="Q6" s="32" t="inlineStr">
        <is>
          <t>运营员工</t>
        </is>
      </c>
      <c r="R6" s="32" t="inlineStr">
        <is>
          <t>未开始</t>
        </is>
      </c>
    </row>
    <row r="7" ht="80" customHeight="1" s="106">
      <c r="A7" s="13" t="inlineStr">
        <is>
          <t>周期1｜基础启动</t>
        </is>
      </c>
      <c r="B7" s="13" t="inlineStr">
        <is>
          <t>D3</t>
        </is>
      </c>
      <c r="C7" s="139">
        <f>推广总览!$B$6+2</f>
        <v/>
      </c>
      <c r="D7" s="41" t="inlineStr">
        <is>
          <t>正式启动核心关键词流量</t>
        </is>
      </c>
      <c r="E7" s="41" t="inlineStr">
        <is>
          <t>SP核心精准＋词组＋自动</t>
        </is>
      </c>
      <c r="F7" s="41" t="inlineStr">
        <is>
          <t>1）核心精准8–12词，占广告预算40%；2）长尾词组占20%；3）自动紧密/宽泛分开，占15%；4）竞品商品投放占25%；5）核心精准Top of Search从+20%开始；6）记录5个核心词自然位和广告位。</t>
        </is>
      </c>
      <c r="G7" s="41" t="inlineStr">
        <is>
          <t>广告命名表、关键词分组、5词排名表</t>
        </is>
      </c>
      <c r="H7" s="41" t="inlineStr">
        <is>
          <t>启用10% Coupon或约$3 Coupon，至少连续保持5天，不与主图同时反复更改</t>
        </is>
      </c>
      <c r="I7" s="140" t="n">
        <v>30</v>
      </c>
      <c r="J7" s="140" t="n">
        <v>0</v>
      </c>
      <c r="K7" s="44" t="n">
        <v>65</v>
      </c>
      <c r="L7" s="44" t="n">
        <v>9</v>
      </c>
      <c r="M7" s="141">
        <f>L7*推广总览!$B$7</f>
        <v/>
      </c>
      <c r="N7" s="45" t="n">
        <v>0.14</v>
      </c>
      <c r="O7" s="41" t="inlineStr">
        <is>
          <t>快速增加精准曝光和点击，同时用优惠提高首批成交速度</t>
        </is>
      </c>
      <c r="P7" s="41" t="inlineStr">
        <is>
          <t>广告上线截图＋预算分配＋5词排名</t>
        </is>
      </c>
      <c r="Q7" s="32" t="inlineStr">
        <is>
          <t>运营员工</t>
        </is>
      </c>
      <c r="R7" s="32" t="inlineStr">
        <is>
          <t>未开始</t>
        </is>
      </c>
    </row>
    <row r="8" ht="80" customHeight="1" s="106">
      <c r="A8" s="13" t="inlineStr">
        <is>
          <t>周期1｜基础启动</t>
        </is>
      </c>
      <c r="B8" s="13" t="inlineStr">
        <is>
          <t>D4</t>
        </is>
      </c>
      <c r="C8" s="139">
        <f>推广总览!$B$6+3</f>
        <v/>
      </c>
      <c r="D8" s="41" t="inlineStr">
        <is>
          <t>截取竞品商品页流量</t>
        </is>
      </c>
      <c r="E8" s="41" t="inlineStr">
        <is>
          <t>SP商品投放＋类目投放</t>
        </is>
      </c>
      <c r="F8" s="41" t="inlineStr">
        <is>
          <t>1）选择20个同形态竞品ASIN，优先价格为本品0.9–1.25倍、评分或素材存在弱点的产品；2）按低价/同价/高价分3组；3）建立细分类目定向并限制价格区间；4）有其他自有相关ASIN时增加品牌防守；5）补充一张对比型副图。</t>
        </is>
      </c>
      <c r="G8" s="41" t="inlineStr">
        <is>
          <t>竞品ASIN清单20个、3个商品投放组、产品对比图</t>
        </is>
      </c>
      <c r="H8" s="41" t="inlineStr">
        <is>
          <t>维持D3优惠，不再新增第二种促销</t>
        </is>
      </c>
      <c r="I8" s="140" t="n">
        <v>30</v>
      </c>
      <c r="J8" s="140" t="n">
        <v>0</v>
      </c>
      <c r="K8" s="44" t="n">
        <v>70</v>
      </c>
      <c r="L8" s="44" t="n">
        <v>10</v>
      </c>
      <c r="M8" s="141">
        <f>L8*推广总览!$B$7</f>
        <v/>
      </c>
      <c r="N8" s="45" t="n">
        <v>0.14</v>
      </c>
      <c r="O8" s="41" t="inlineStr">
        <is>
          <t>从竞品详情页获取已有购买意图的消费者，提高新增会话质量</t>
        </is>
      </c>
      <c r="P8" s="41" t="inlineStr">
        <is>
          <t>竞品投放截图＋ASIN筛选理由</t>
        </is>
      </c>
      <c r="Q8" s="32" t="inlineStr">
        <is>
          <t>运营员工</t>
        </is>
      </c>
      <c r="R8" s="32" t="inlineStr">
        <is>
          <t>未开始</t>
        </is>
      </c>
    </row>
    <row r="9" ht="80" customHeight="1" s="106">
      <c r="A9" s="13" t="inlineStr">
        <is>
          <t>周期1｜基础启动</t>
        </is>
      </c>
      <c r="B9" s="13" t="inlineStr">
        <is>
          <t>D5</t>
        </is>
      </c>
      <c r="C9" s="139">
        <f>推广总览!$B$6+4</f>
        <v/>
      </c>
      <c r="D9" s="41" t="inlineStr">
        <is>
          <t>启动视频流量并完成首轮推广</t>
        </is>
      </c>
      <c r="E9" s="41" t="inlineStr">
        <is>
          <t>Listing视频＋SBV/品牌内容</t>
        </is>
      </c>
      <c r="F9" s="41" t="inlineStr">
        <is>
          <t>1）上传30–45秒Listing视频；2）制作3条15秒短视频，主题分别为“磁吸即装”“自拍杆变三脚架”“旅行快速拍摄”；3）有品牌权限则上线核心词视频广告、品牌旗舰店模块或Posts；4）复盘D1–D5各渠道带来的会话和订单。</t>
        </is>
      </c>
      <c r="G9" s="41" t="inlineStr">
        <is>
          <t>Listing视频1条、短视频3条、周期1推广复盘</t>
        </is>
      </c>
      <c r="H9" s="41" t="inlineStr">
        <is>
          <t>优惠继续；不因单日数据随意关闭</t>
        </is>
      </c>
      <c r="I9" s="140" t="n">
        <v>30</v>
      </c>
      <c r="J9" s="140" t="n">
        <v>0</v>
      </c>
      <c r="K9" s="44" t="n">
        <v>75</v>
      </c>
      <c r="L9" s="44" t="n">
        <v>11</v>
      </c>
      <c r="M9" s="141">
        <f>L9*推广总览!$B$7</f>
        <v/>
      </c>
      <c r="N9" s="45" t="n">
        <v>0.15</v>
      </c>
      <c r="O9" s="41" t="inlineStr">
        <is>
          <t>视频展示产品使用过程，扩大点击入口并提高购买理解</t>
        </is>
      </c>
      <c r="P9" s="41" t="inlineStr">
        <is>
          <t>视频链接/截图＋周期1渠道结果</t>
        </is>
      </c>
      <c r="Q9" s="32" t="inlineStr">
        <is>
          <t>运营员工</t>
        </is>
      </c>
      <c r="R9" s="32" t="inlineStr">
        <is>
          <t>未开始</t>
        </is>
      </c>
    </row>
    <row r="10" ht="80" customHeight="1" s="106">
      <c r="A10" s="46" t="inlineStr">
        <is>
          <t>周期2｜扩大流量</t>
        </is>
      </c>
      <c r="B10" s="46" t="inlineStr">
        <is>
          <t>D6</t>
        </is>
      </c>
      <c r="C10" s="142">
        <f>推广总览!$B$6+5</f>
        <v/>
      </c>
      <c r="D10" s="37" t="inlineStr">
        <is>
          <t>放大已验证的成交关键词</t>
        </is>
      </c>
      <c r="E10" s="37" t="inlineStr">
        <is>
          <t>核心精准关键词</t>
        </is>
      </c>
      <c r="F10" s="37" t="inlineStr">
        <is>
          <t>1）从前5天筛选有≥2单、CVR≥15%、ACoS≤45%的关键词；2）转入独立精准活动；3）赢家竞价+5%–10%、预算+15%；4）从词组/自动活动中否定精准，避免内部抢流量；5）核心赢家获得当天50%广告预算。</t>
        </is>
      </c>
      <c r="G10" s="37" t="inlineStr">
        <is>
          <t>Top10成交词清单、独立赢家广告组</t>
        </is>
      </c>
      <c r="H10" s="37" t="inlineStr">
        <is>
          <t>维持原优惠</t>
        </is>
      </c>
      <c r="I10" s="140" t="n">
        <v>30</v>
      </c>
      <c r="J10" s="140" t="n">
        <v>0</v>
      </c>
      <c r="K10" s="44" t="n">
        <v>80</v>
      </c>
      <c r="L10" s="44" t="n">
        <v>12</v>
      </c>
      <c r="M10" s="143">
        <f>L10*推广总览!$B$7</f>
        <v/>
      </c>
      <c r="N10" s="45" t="n">
        <v>0.15</v>
      </c>
      <c r="O10" s="37" t="inlineStr">
        <is>
          <t>把预算从试错流量转到真正能带来订单的关键词上</t>
        </is>
      </c>
      <c r="P10" s="37" t="inlineStr">
        <is>
          <t>旧/新竞价、预算和数据依据</t>
        </is>
      </c>
      <c r="Q10" s="32" t="inlineStr">
        <is>
          <t>运营员工</t>
        </is>
      </c>
      <c r="R10" s="32" t="inlineStr">
        <is>
          <t>未开始</t>
        </is>
      </c>
    </row>
    <row r="11" ht="80" customHeight="1" s="106">
      <c r="A11" s="46" t="inlineStr">
        <is>
          <t>周期2｜扩大流量</t>
        </is>
      </c>
      <c r="B11" s="46" t="inlineStr">
        <is>
          <t>D7</t>
        </is>
      </c>
      <c r="C11" s="142">
        <f>推广总览!$B$6+6</f>
        <v/>
      </c>
      <c r="D11" s="37" t="inlineStr">
        <is>
          <t>扩展长尾与使用场景流量</t>
        </is>
      </c>
      <c r="E11" s="37" t="inlineStr">
        <is>
          <t>长尾精准＋词组广告</t>
        </is>
      </c>
      <c r="F11" s="37" t="inlineStr">
        <is>
          <t>1）增加20个长尾词；2）按旅行拍摄、桌面拍摄、视频通话/直播、遥控自拍等真实场景分组；3）在A+或副图加入3个高转化场景；4）只有产品真实兼容时才使用compatible with MagSafe、remote等词。</t>
        </is>
      </c>
      <c r="G11" s="37" t="inlineStr">
        <is>
          <t>20个长尾词、3组场景广告、场景素材3张</t>
        </is>
      </c>
      <c r="H11" s="37" t="inlineStr">
        <is>
          <t>维持优惠与售价稳定</t>
        </is>
      </c>
      <c r="I11" s="140" t="n">
        <v>30</v>
      </c>
      <c r="J11" s="140" t="n">
        <v>0</v>
      </c>
      <c r="K11" s="44" t="n">
        <v>85</v>
      </c>
      <c r="L11" s="44" t="n">
        <v>13</v>
      </c>
      <c r="M11" s="143">
        <f>L11*推广总览!$B$7</f>
        <v/>
      </c>
      <c r="N11" s="45" t="n">
        <v>0.15</v>
      </c>
      <c r="O11" s="37" t="inlineStr">
        <is>
          <t>扩大相关搜索覆盖面，降低只依赖1–2个大词的风险</t>
        </is>
      </c>
      <c r="P11" s="37" t="inlineStr">
        <is>
          <t>长尾词表＋场景广告截图</t>
        </is>
      </c>
      <c r="Q11" s="32" t="inlineStr">
        <is>
          <t>运营员工</t>
        </is>
      </c>
      <c r="R11" s="32" t="inlineStr">
        <is>
          <t>未开始</t>
        </is>
      </c>
    </row>
    <row r="12" ht="80" customHeight="1" s="106">
      <c r="A12" s="46" t="inlineStr">
        <is>
          <t>周期2｜扩大流量</t>
        </is>
      </c>
      <c r="B12" s="46" t="inlineStr">
        <is>
          <t>D8</t>
        </is>
      </c>
      <c r="C12" s="142">
        <f>推广总览!$B$6+7</f>
        <v/>
      </c>
      <c r="D12" s="37" t="inlineStr">
        <is>
          <t>提升广告和自然搜索点击率</t>
        </is>
      </c>
      <c r="E12" s="37" t="inlineStr">
        <is>
          <t>主图/视频单变量测试</t>
        </is>
      </c>
      <c r="F12" s="37" t="inlineStr">
        <is>
          <t>1）找出曝光高但CTR低的核心词；2）只测试一个变量：主图或优惠标识二选一；3）上线第2条短视频或视频广告；4）对强相关但曝光不足的精准词小幅提高竞价。</t>
        </is>
      </c>
      <c r="G12" s="37" t="inlineStr">
        <is>
          <t>CTR测试卡、第二条短视频</t>
        </is>
      </c>
      <c r="H12" s="37" t="inlineStr">
        <is>
          <t>不同时改主图、标题和优惠；测试至少观察48–72小时</t>
        </is>
      </c>
      <c r="I12" s="140" t="n">
        <v>30</v>
      </c>
      <c r="J12" s="140" t="n">
        <v>0</v>
      </c>
      <c r="K12" s="44" t="n">
        <v>90</v>
      </c>
      <c r="L12" s="44" t="n">
        <v>14</v>
      </c>
      <c r="M12" s="143">
        <f>L12*推广总览!$B$7</f>
        <v/>
      </c>
      <c r="N12" s="45" t="n">
        <v>0.15</v>
      </c>
      <c r="O12" s="37" t="inlineStr">
        <is>
          <t>同样曝光获得更多点击，使会话增长不完全依靠继续加价</t>
        </is>
      </c>
      <c r="P12" s="37" t="inlineStr">
        <is>
          <t>测试变量、开始时间、修改前CTR</t>
        </is>
      </c>
      <c r="Q12" s="32" t="inlineStr">
        <is>
          <t>运营员工</t>
        </is>
      </c>
      <c r="R12" s="32" t="inlineStr">
        <is>
          <t>未开始</t>
        </is>
      </c>
    </row>
    <row r="13" ht="80" customHeight="1" s="106">
      <c r="A13" s="46" t="inlineStr">
        <is>
          <t>周期2｜扩大流量</t>
        </is>
      </c>
      <c r="B13" s="46" t="inlineStr">
        <is>
          <t>D9</t>
        </is>
      </c>
      <c r="C13" s="142">
        <f>推广总览!$B$6+8</f>
        <v/>
      </c>
      <c r="D13" s="37" t="inlineStr">
        <is>
          <t>扩大竞品与商品页覆盖</t>
        </is>
      </c>
      <c r="E13" s="37" t="inlineStr">
        <is>
          <t>商品投放＋品牌防守</t>
        </is>
      </c>
      <c r="F13" s="37" t="inlineStr">
        <is>
          <t>1）把已产生点击/订单的ASIN独立出来；2）竞品ASIN扩展到30个；3）增加10个同类但价格更高或评分较弱的商品；4）对自有ASIN做品牌防守；5）Product Pages表现达标后再提高位置系数。</t>
        </is>
      </c>
      <c r="G13" s="37" t="inlineStr">
        <is>
          <t>30个竞品ASIN库、赢家ASIN独立组</t>
        </is>
      </c>
      <c r="H13" s="37" t="inlineStr">
        <is>
          <t>维持优惠</t>
        </is>
      </c>
      <c r="I13" s="140" t="n">
        <v>30</v>
      </c>
      <c r="J13" s="140" t="n">
        <v>0</v>
      </c>
      <c r="K13" s="44" t="n">
        <v>95</v>
      </c>
      <c r="L13" s="44" t="n">
        <v>15</v>
      </c>
      <c r="M13" s="143">
        <f>L13*推广总览!$B$7</f>
        <v/>
      </c>
      <c r="N13" s="45" t="n">
        <v>0.15</v>
      </c>
      <c r="O13" s="37" t="inlineStr">
        <is>
          <t>扩大高购买意图商品页流量，并减少竞品在自有页面截流</t>
        </is>
      </c>
      <c r="P13" s="37" t="inlineStr">
        <is>
          <t>ASIN新增/淘汰清单＋商品页数据</t>
        </is>
      </c>
      <c r="Q13" s="32" t="inlineStr">
        <is>
          <t>运营员工</t>
        </is>
      </c>
      <c r="R13" s="32" t="inlineStr">
        <is>
          <t>未开始</t>
        </is>
      </c>
    </row>
    <row r="14" ht="80" customHeight="1" s="106">
      <c r="A14" s="46" t="inlineStr">
        <is>
          <t>周期2｜扩大流量</t>
        </is>
      </c>
      <c r="B14" s="46" t="inlineStr">
        <is>
          <t>D10</t>
        </is>
      </c>
      <c r="C14" s="142">
        <f>推广总览!$B$6+9</f>
        <v/>
      </c>
      <c r="D14" s="37" t="inlineStr">
        <is>
          <t>放大亚马逊视频广告流量</t>
        </is>
      </c>
      <c r="E14" s="37" t="inlineStr">
        <is>
          <t>SBV/Listing视频广告</t>
        </is>
      </c>
      <c r="F14" s="37" t="inlineStr">
        <is>
          <t>1）把D5上线的Listing视频和15秒短视频用于核心词视频广告；2）选择CTR/CVR优于SP平均的视频加大投放；3）核心词精准投放，前3秒展示磁吸即装；4）对比视频广告与SP搜索广告的会话、订单和CVR；5）未达标视频暂停或替换素材。</t>
        </is>
      </c>
      <c r="G14" s="37" t="inlineStr">
        <is>
          <t>视频广告投放组、视频表现对比表</t>
        </is>
      </c>
      <c r="H14" s="37" t="inlineStr">
        <is>
          <t>维持原优惠</t>
        </is>
      </c>
      <c r="I14" s="140" t="n">
        <v>30</v>
      </c>
      <c r="J14" s="140" t="n">
        <v>0</v>
      </c>
      <c r="K14" s="44" t="n">
        <v>100</v>
      </c>
      <c r="L14" s="44" t="n">
        <v>15</v>
      </c>
      <c r="M14" s="143">
        <f>L14*推广总览!$B$7</f>
        <v/>
      </c>
      <c r="N14" s="45" t="n">
        <v>0.15</v>
      </c>
      <c r="O14" s="37" t="inlineStr">
        <is>
          <t>用产品演示视频提高点击质量，扩大站内视频会话与订单</t>
        </is>
      </c>
      <c r="P14" s="37" t="inlineStr">
        <is>
          <t>视频广告截图＋视频vs SP对比＋周期2复盘</t>
        </is>
      </c>
      <c r="Q14" s="32" t="inlineStr">
        <is>
          <t>运营员工</t>
        </is>
      </c>
      <c r="R14" s="32" t="inlineStr">
        <is>
          <t>未开始</t>
        </is>
      </c>
    </row>
    <row r="15" ht="80" customHeight="1" s="106">
      <c r="A15" s="49" t="inlineStr">
        <is>
          <t>周期3｜销量与排名</t>
        </is>
      </c>
      <c r="B15" s="49" t="inlineStr">
        <is>
          <t>D11</t>
        </is>
      </c>
      <c r="C15" s="144">
        <f>推广总览!$B$6+10</f>
        <v/>
      </c>
      <c r="D15" s="51" t="inlineStr">
        <is>
          <t>集中冲5个核心词自然排名</t>
        </is>
      </c>
      <c r="E15" s="51" t="inlineStr">
        <is>
          <t>核心精准＋Top of Search</t>
        </is>
      </c>
      <c r="F15" s="51" t="inlineStr">
        <is>
          <t>1）只选择5个同时有转化和排名机会的核心词；2）60%广告预算集中到这5个词；3）Top of Search提高到+20%–40%，每次小幅调整；4）上午和晚上各记录一次自然排名；5）其余探索活动控制在总预算10%。</t>
        </is>
      </c>
      <c r="G15" s="51" t="inlineStr">
        <is>
          <t>5词冲排名表、核心预算分配</t>
        </is>
      </c>
      <c r="H15" s="51" t="inlineStr">
        <is>
          <t>继续10%优惠，保持价格稳定</t>
        </is>
      </c>
      <c r="I15" s="140" t="n">
        <v>30</v>
      </c>
      <c r="J15" s="140" t="n">
        <v>0</v>
      </c>
      <c r="K15" s="44" t="n">
        <v>105</v>
      </c>
      <c r="L15" s="44" t="n">
        <v>17</v>
      </c>
      <c r="M15" s="145">
        <f>L15*推广总览!$B$7</f>
        <v/>
      </c>
      <c r="N15" s="45" t="n">
        <v>0.16</v>
      </c>
      <c r="O15" s="51" t="inlineStr">
        <is>
          <t>用连续订单强化核心词相关性，逐步让自然流量接替广告流量</t>
        </is>
      </c>
      <c r="P15" s="51" t="inlineStr">
        <is>
          <t>5词早晚排名＋订单归因</t>
        </is>
      </c>
      <c r="Q15" s="32" t="inlineStr">
        <is>
          <t>运营员工</t>
        </is>
      </c>
      <c r="R15" s="32" t="inlineStr">
        <is>
          <t>未开始</t>
        </is>
      </c>
    </row>
    <row r="16" ht="80" customHeight="1" s="106">
      <c r="A16" s="49" t="inlineStr">
        <is>
          <t>周期3｜销量与排名</t>
        </is>
      </c>
      <c r="B16" s="49" t="inlineStr">
        <is>
          <t>D12</t>
        </is>
      </c>
      <c r="C16" s="144">
        <f>推广总览!$B$6+11</f>
        <v/>
      </c>
      <c r="D16" s="51" t="inlineStr">
        <is>
          <t>加大视频广告与核心词曝光</t>
        </is>
      </c>
      <c r="E16" s="51" t="inlineStr">
        <is>
          <t>核心词＋视频再曝光</t>
        </is>
      </c>
      <c r="F16" s="51" t="inlineStr">
        <is>
          <t>1）加大表现最好的视频广告；2）所有素材统一突出同一主卖点；3）核心词保持稳定竞价，不因单日波动大幅改价；4）核对毛利后维持10% Coupon，不额外加码短期促销。</t>
        </is>
      </c>
      <c r="G16" s="51" t="inlineStr">
        <is>
          <t>视频复投清单、毛利核对</t>
        </is>
      </c>
      <c r="H16" s="51" t="inlineStr">
        <is>
          <t>维持10% Coupon，不设72小时加码</t>
        </is>
      </c>
      <c r="I16" s="140" t="n">
        <v>30</v>
      </c>
      <c r="J16" s="140" t="n">
        <v>0</v>
      </c>
      <c r="K16" s="44" t="n">
        <v>110</v>
      </c>
      <c r="L16" s="44" t="n">
        <v>18</v>
      </c>
      <c r="M16" s="145">
        <f>L16*推广总览!$B$7</f>
        <v/>
      </c>
      <c r="N16" s="45" t="n">
        <v>0.16</v>
      </c>
      <c r="O16" s="51" t="inlineStr">
        <is>
          <t>用视频和核心词持续拉动销量速度，推动关键词排名</t>
        </is>
      </c>
      <c r="P16" s="51" t="inlineStr">
        <is>
          <t>视频投放截图＋毛利核对＋销量趋势</t>
        </is>
      </c>
      <c r="Q16" s="32" t="inlineStr">
        <is>
          <t>运营员工</t>
        </is>
      </c>
      <c r="R16" s="32" t="inlineStr">
        <is>
          <t>未开始</t>
        </is>
      </c>
    </row>
    <row r="17" ht="80" customHeight="1" s="106">
      <c r="A17" s="49" t="inlineStr">
        <is>
          <t>周期3｜销量与排名</t>
        </is>
      </c>
      <c r="B17" s="49" t="inlineStr">
        <is>
          <t>D13</t>
        </is>
      </c>
      <c r="C17" s="144">
        <f>推广总览!$B$6+12</f>
        <v/>
      </c>
      <c r="D17" s="51" t="inlineStr">
        <is>
          <t>追回浏览未购买人群</t>
        </is>
      </c>
      <c r="E17" s="51" t="inlineStr">
        <is>
          <t>Sponsored Display再营销＋关联销售</t>
        </is>
      </c>
      <c r="F17" s="51" t="inlineStr">
        <is>
          <t>1）有权限则建立7天/14天浏览再营销；2）把已转化竞品ASIN建立独立商品投放；3）完善FAQ，解决磁吸兼容、遥控连接、长度和稳定性问题；4）品牌旗舰店加入磁吸自拍杆入口和相关产品交叉展示。</t>
        </is>
      </c>
      <c r="G17" s="51" t="inlineStr">
        <is>
          <t>再营销广告组、FAQ更新、品牌店入口</t>
        </is>
      </c>
      <c r="H17" s="51" t="inlineStr">
        <is>
          <t>维持10% Coupon</t>
        </is>
      </c>
      <c r="I17" s="140" t="n">
        <v>30</v>
      </c>
      <c r="J17" s="140" t="n">
        <v>0</v>
      </c>
      <c r="K17" s="44" t="n">
        <v>115</v>
      </c>
      <c r="L17" s="44" t="n">
        <v>18</v>
      </c>
      <c r="M17" s="145">
        <f>L17*推广总览!$B$7</f>
        <v/>
      </c>
      <c r="N17" s="45" t="n">
        <v>0.16</v>
      </c>
      <c r="O17" s="51" t="inlineStr">
        <is>
          <t>提高浏览人群二次触达和转化，增加同品牌关联流量</t>
        </is>
      </c>
      <c r="P17" s="51" t="inlineStr">
        <is>
          <t>再营销设置＋受众/点击数据</t>
        </is>
      </c>
      <c r="Q17" s="32" t="inlineStr">
        <is>
          <t>运营员工</t>
        </is>
      </c>
      <c r="R17" s="32" t="inlineStr">
        <is>
          <t>未开始</t>
        </is>
      </c>
    </row>
    <row r="18" ht="80" customHeight="1" s="106">
      <c r="A18" s="49" t="inlineStr">
        <is>
          <t>周期3｜销量与排名</t>
        </is>
      </c>
      <c r="B18" s="49" t="inlineStr">
        <is>
          <t>D14</t>
        </is>
      </c>
      <c r="C18" s="144">
        <f>推广总览!$B$6+13</f>
        <v/>
      </c>
      <c r="D18" s="51" t="inlineStr">
        <is>
          <t>第二波集中放量</t>
        </is>
      </c>
      <c r="E18" s="51" t="inlineStr">
        <is>
          <t>核心词＋视频广告</t>
        </is>
      </c>
      <c r="F18" s="51" t="inlineStr">
        <is>
          <t>1）广告预算分配：核心赢家70%、竞品商品投放20%、探索10%；2）暂停明显无关和连续无转化流量；3）继续投放表现最好的视频广告；4）对5个核心词继续记录排名；5）不在当天多次改竞价。</t>
        </is>
      </c>
      <c r="G18" s="51" t="inlineStr">
        <is>
          <t>最终预算分配表、视频广告复盘、5词排名</t>
        </is>
      </c>
      <c r="H18" s="51" t="inlineStr">
        <is>
          <t>维持10% Coupon</t>
        </is>
      </c>
      <c r="I18" s="140" t="n">
        <v>30</v>
      </c>
      <c r="J18" s="140" t="n">
        <v>0</v>
      </c>
      <c r="K18" s="44" t="n">
        <v>125</v>
      </c>
      <c r="L18" s="44" t="n">
        <v>20</v>
      </c>
      <c r="M18" s="145">
        <f>L18*推广总览!$B$7</f>
        <v/>
      </c>
      <c r="N18" s="45" t="n">
        <v>0.16</v>
      </c>
      <c r="O18" s="51" t="inlineStr">
        <is>
          <t>把前13天验证出的最佳广告、素材和优惠集中形成销量峰值</t>
        </is>
      </c>
      <c r="P18" s="51" t="inlineStr">
        <is>
          <t>预算分配＋渠道销量贡献</t>
        </is>
      </c>
      <c r="Q18" s="32" t="inlineStr">
        <is>
          <t>运营员工</t>
        </is>
      </c>
      <c r="R18" s="32" t="inlineStr">
        <is>
          <t>未开始</t>
        </is>
      </c>
    </row>
    <row r="19" ht="80" customHeight="1" s="106">
      <c r="A19" s="49" t="inlineStr">
        <is>
          <t>周期3｜销量与排名</t>
        </is>
      </c>
      <c r="B19" s="49" t="inlineStr">
        <is>
          <t>D15</t>
        </is>
      </c>
      <c r="C19" s="144">
        <f>推广总览!$B$6+14</f>
        <v/>
      </c>
      <c r="D19" s="51" t="inlineStr">
        <is>
          <t>固化可持续推广结构</t>
        </is>
      </c>
      <c r="E19" s="51" t="inlineStr">
        <is>
          <t>赢家广告＋自然排名维护</t>
        </is>
      </c>
      <c r="F19" s="51" t="inlineStr">
        <is>
          <t>1）汇总15天各渠道会话、订单和销量；2）保留核心赢家词、长尾词、赢家ASIN和最佳视频；3）淘汰无效流量入口；4）确定未来30天的固定预算、Coupon和内容节奏；5）对比5个核心词D1与D15自然排名。</t>
        </is>
      </c>
      <c r="G19" s="51" t="inlineStr">
        <is>
          <t>15天推广总结、稳定广告结构、未来30天推广排期</t>
        </is>
      </c>
      <c r="H19" s="51" t="inlineStr">
        <is>
          <t>根据自然排名和转化决定维持10% Coupon或调整，不突然大幅涨价</t>
        </is>
      </c>
      <c r="I19" s="140" t="n">
        <v>30</v>
      </c>
      <c r="J19" s="140" t="n">
        <v>0</v>
      </c>
      <c r="K19" s="44" t="n">
        <v>130</v>
      </c>
      <c r="L19" s="44" t="n">
        <v>21</v>
      </c>
      <c r="M19" s="145">
        <f>L19*推广总览!$B$7</f>
        <v/>
      </c>
      <c r="N19" s="45" t="n">
        <v>0.16</v>
      </c>
      <c r="O19" s="51" t="inlineStr">
        <is>
          <t>把短期推广转成稳定自然流量与日常销量，而不是活动结束后归零</t>
        </is>
      </c>
      <c r="P19" s="51" t="inlineStr">
        <is>
          <t>渠道贡献表＋关键词排名对比＋30天计划</t>
        </is>
      </c>
      <c r="Q19" s="32" t="inlineStr">
        <is>
          <t>运营员工</t>
        </is>
      </c>
      <c r="R19" s="32" t="inlineStr">
        <is>
          <t>未开始</t>
        </is>
      </c>
    </row>
  </sheetData>
  <mergeCells count="2">
    <mergeCell ref="A2:R2"/>
    <mergeCell ref="A1:R1"/>
  </mergeCells>
  <conditionalFormatting sqref="R5:R19">
    <cfRule type="containsText" priority="1" operator="between" dxfId="0" text="已完成">
      <formula>NOT(ISERROR(SEARCH("已完成",R5)))</formula>
    </cfRule>
    <cfRule type="containsText" priority="2" operator="between" dxfId="1" text="阻塞">
      <formula>NOT(ISERROR(SEARCH("阻塞",R5)))</formula>
    </cfRule>
  </conditionalFormatting>
  <dataValidations count="1">
    <dataValidation sqref="R5:R19" showDropDown="0" showInputMessage="0" showErrorMessage="0" allowBlank="0" type="list">
      <formula1>"未开始,进行中,已完成,阻塞"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2" sqref="$A12:$XFD12"/>
    </sheetView>
  </sheetViews>
  <sheetFormatPr baseColWidth="8" defaultColWidth="9" defaultRowHeight="14"/>
  <cols>
    <col width="23" customWidth="1" style="106" min="1" max="1"/>
    <col width="34" customWidth="1" style="106" min="2" max="2"/>
    <col width="43" customWidth="1" style="106" min="3" max="3"/>
    <col width="31" customWidth="1" style="106" min="4" max="4"/>
    <col width="18" customWidth="1" style="106" min="5" max="5"/>
    <col width="22" customWidth="1" style="106" min="6" max="6"/>
    <col width="38" customWidth="1" style="106" min="7" max="7"/>
  </cols>
  <sheetData>
    <row r="1" ht="34" customHeight="1" s="106">
      <c r="A1" s="107" t="inlineStr">
        <is>
          <t>推广渠道打法与必备素材清单</t>
        </is>
      </c>
      <c r="B1" s="108" t="n"/>
      <c r="C1" s="108" t="n"/>
      <c r="D1" s="108" t="n"/>
      <c r="E1" s="108" t="n"/>
      <c r="F1" s="108" t="n"/>
      <c r="G1" s="109" t="n"/>
    </row>
    <row r="2">
      <c r="A2" s="5" t="n"/>
      <c r="B2" s="5" t="n"/>
      <c r="C2" s="5" t="n"/>
      <c r="D2" s="5" t="n"/>
      <c r="E2" s="5" t="n"/>
      <c r="F2" s="5" t="n"/>
      <c r="G2" s="5" t="n"/>
    </row>
    <row r="3" ht="25" customHeight="1" s="106">
      <c r="A3" s="110" t="inlineStr">
        <is>
          <t>一、流量渠道如何分工</t>
        </is>
      </c>
      <c r="B3" s="130" t="n"/>
      <c r="C3" s="130" t="n"/>
      <c r="D3" s="130" t="n"/>
      <c r="E3" s="130" t="n"/>
      <c r="F3" s="130" t="n"/>
      <c r="G3" s="111" t="n"/>
    </row>
    <row r="4" ht="38" customHeight="1" s="106">
      <c r="A4" s="6" t="inlineStr">
        <is>
          <t>渠道</t>
        </is>
      </c>
      <c r="B4" s="6" t="inlineStr">
        <is>
          <t>主要作用</t>
        </is>
      </c>
      <c r="C4" s="6" t="inlineStr">
        <is>
          <t>具体设置</t>
        </is>
      </c>
      <c r="D4" s="6" t="inlineStr">
        <is>
          <t>预算建议</t>
        </is>
      </c>
      <c r="E4" s="6" t="inlineStr">
        <is>
          <t>核心素材</t>
        </is>
      </c>
      <c r="F4" s="6" t="inlineStr">
        <is>
          <t>看什么指标</t>
        </is>
      </c>
      <c r="G4" s="6" t="inlineStr">
        <is>
          <t>何时放大</t>
        </is>
      </c>
    </row>
    <row r="5" ht="60" customHeight="1" s="106">
      <c r="A5" s="21" t="inlineStr">
        <is>
          <t>SP核心精准</t>
        </is>
      </c>
      <c r="B5" s="21" t="inlineStr">
        <is>
          <t>抢核心搜索流量和关键词排名</t>
        </is>
      </c>
      <c r="C5" s="21" t="inlineStr">
        <is>
          <t>8–12个核心词单独活动；Top of Search从+20%开始</t>
        </is>
      </c>
      <c r="D5" s="36" t="inlineStr">
        <is>
          <t>站内广告35%</t>
        </is>
      </c>
      <c r="E5" s="21" t="inlineStr">
        <is>
          <t>主图、标题、Coupon</t>
        </is>
      </c>
      <c r="F5" s="21" t="inlineStr">
        <is>
          <t>曝光、CTR、CVR、订单、自然位</t>
        </is>
      </c>
      <c r="G5" s="21" t="inlineStr">
        <is>
          <t>≥2单、CVR≥15%、ACoS≤45%</t>
        </is>
      </c>
    </row>
    <row r="6" ht="60" customHeight="1" s="106">
      <c r="A6" s="21" t="inlineStr">
        <is>
          <t>SP长尾/词组</t>
        </is>
      </c>
      <c r="B6" s="21" t="inlineStr">
        <is>
          <t>扩大高相关场景流量</t>
        </is>
      </c>
      <c r="C6" s="21" t="inlineStr">
        <is>
          <t>旅行、桌面、视频通话、遥控自拍等真实场景分组</t>
        </is>
      </c>
      <c r="D6" s="36" t="inlineStr">
        <is>
          <t>站内广告15%</t>
        </is>
      </c>
      <c r="E6" s="21" t="inlineStr">
        <is>
          <t>场景副图、A+</t>
        </is>
      </c>
      <c r="F6" s="21" t="inlineStr">
        <is>
          <t>搜索词、CTR、订单</t>
        </is>
      </c>
      <c r="G6" s="21" t="inlineStr">
        <is>
          <t>有订单的搜索词迁移精准</t>
        </is>
      </c>
    </row>
    <row r="7" ht="60" customHeight="1" s="106">
      <c r="A7" s="21" t="inlineStr">
        <is>
          <t>SP商品投放</t>
        </is>
      </c>
      <c r="B7" s="21" t="inlineStr">
        <is>
          <t>截取竞品详情页购买人群</t>
        </is>
      </c>
      <c r="C7" s="21" t="inlineStr">
        <is>
          <t>低价/同价/高价竞品分组；赢家ASIN独立</t>
        </is>
      </c>
      <c r="D7" s="36" t="inlineStr">
        <is>
          <t>站内广告20%</t>
        </is>
      </c>
      <c r="E7" s="21" t="inlineStr">
        <is>
          <t>对比图、价格与优惠</t>
        </is>
      </c>
      <c r="F7" s="21" t="inlineStr">
        <is>
          <t>商品页点击、订单、ASIN表现</t>
        </is>
      </c>
      <c r="G7" s="21" t="inlineStr">
        <is>
          <t>≥2单且成本达标</t>
        </is>
      </c>
    </row>
    <row r="8" ht="60" customHeight="1" s="106">
      <c r="A8" s="21" t="inlineStr">
        <is>
          <t>自动探索</t>
        </is>
      </c>
      <c r="B8" s="21" t="inlineStr">
        <is>
          <t>发现新搜索词和关联商品</t>
        </is>
      </c>
      <c r="C8" s="21" t="inlineStr">
        <is>
          <t>紧密、宽泛、替代、关联分别出价</t>
        </is>
      </c>
      <c r="D8" s="36" t="inlineStr">
        <is>
          <t>站内广告10%</t>
        </is>
      </c>
      <c r="E8" s="21" t="inlineStr">
        <is>
          <t>完整Listing</t>
        </is>
      </c>
      <c r="F8" s="21" t="inlineStr">
        <is>
          <t>新搜索词、浪费词、订单</t>
        </is>
      </c>
      <c r="G8" s="21" t="inlineStr">
        <is>
          <t>只放大已产生订单的词</t>
        </is>
      </c>
    </row>
    <row r="9" ht="60" customHeight="1" s="106">
      <c r="A9" s="21" t="inlineStr">
        <is>
          <t>SBV/视频广告</t>
        </is>
      </c>
      <c r="B9" s="21" t="inlineStr">
        <is>
          <t>用动态演示提高点击质量</t>
        </is>
      </c>
      <c r="C9" s="21" t="inlineStr">
        <is>
          <t>前3秒展示磁吸即装；核心词精准投放</t>
        </is>
      </c>
      <c r="D9" s="36" t="inlineStr">
        <is>
          <t>站内广告10%</t>
        </is>
      </c>
      <c r="E9" s="21" t="inlineStr">
        <is>
          <t>15–30秒产品视频</t>
        </is>
      </c>
      <c r="F9" s="21" t="inlineStr">
        <is>
          <t>播放、CTR、CVR、订单</t>
        </is>
      </c>
      <c r="G9" s="21" t="inlineStr">
        <is>
          <t>视频CTR/CVR优于SP平均</t>
        </is>
      </c>
    </row>
    <row r="10" ht="60" customHeight="1" s="106">
      <c r="A10" s="21" t="inlineStr">
        <is>
          <t>Sponsored Display</t>
        </is>
      </c>
      <c r="B10" s="21" t="inlineStr">
        <is>
          <t>追回浏览未购买用户</t>
        </is>
      </c>
      <c r="C10" s="21" t="inlineStr">
        <is>
          <t>7天/14天浏览再营销，D13后启用</t>
        </is>
      </c>
      <c r="D10" s="36" t="inlineStr">
        <is>
          <t>站内广告10%</t>
        </is>
      </c>
      <c r="E10" s="21" t="inlineStr">
        <is>
          <t>产品图、优惠</t>
        </is>
      </c>
      <c r="F10" s="21" t="inlineStr">
        <is>
          <t>点击、订单、再营销成本</t>
        </is>
      </c>
      <c r="G10" s="21" t="inlineStr">
        <is>
          <t>有足够受众且产生订单</t>
        </is>
      </c>
    </row>
    <row r="11" ht="60" customHeight="1" s="106">
      <c r="A11" s="37" t="inlineStr">
        <is>
          <t>Coupon/短期促销</t>
        </is>
      </c>
      <c r="B11" s="37" t="inlineStr">
        <is>
          <t>提高搜索点击与购买转化</t>
        </is>
      </c>
      <c r="C11" s="37" t="inlineStr">
        <is>
          <t>常规10%，贯穿15天；不设72小时加码或15%短期上限</t>
        </is>
      </c>
      <c r="D11" s="37" t="inlineStr">
        <is>
          <t>折扣成本另算</t>
        </is>
      </c>
      <c r="E11" s="37" t="inlineStr">
        <is>
          <t>价格、Coupon徽标</t>
        </is>
      </c>
      <c r="F11" s="37" t="inlineStr">
        <is>
          <t>CTR、CVR、销量速度</t>
        </is>
      </c>
      <c r="G11" s="37" t="inlineStr">
        <is>
          <t>折扣后仍满足最低毛利</t>
        </is>
      </c>
    </row>
    <row r="12" ht="12" customHeight="1" s="106">
      <c r="A12" s="5" t="n"/>
      <c r="B12" s="5" t="n"/>
      <c r="C12" s="5" t="n"/>
      <c r="D12" s="5" t="n"/>
      <c r="E12" s="5" t="n"/>
      <c r="F12" s="5" t="n"/>
      <c r="G12" s="5" t="n"/>
    </row>
    <row r="13" ht="25" customHeight="1" s="106">
      <c r="A13" s="110" t="inlineStr">
        <is>
          <t>二、Listing与短视频素材清单</t>
        </is>
      </c>
      <c r="B13" s="130" t="n"/>
      <c r="C13" s="130" t="n"/>
      <c r="D13" s="130" t="n"/>
      <c r="E13" s="130" t="n"/>
      <c r="F13" s="130" t="n"/>
      <c r="G13" s="111" t="n"/>
    </row>
    <row r="14" ht="38" customHeight="1" s="106">
      <c r="A14" s="6" t="inlineStr">
        <is>
          <t>素材</t>
        </is>
      </c>
      <c r="B14" s="6" t="inlineStr">
        <is>
          <t>必须表达什么</t>
        </is>
      </c>
      <c r="C14" s="6" t="inlineStr">
        <is>
          <t>画面要求</t>
        </is>
      </c>
      <c r="D14" s="6" t="inlineStr">
        <is>
          <t>解决的问题</t>
        </is>
      </c>
      <c r="E14" s="6" t="inlineStr">
        <is>
          <t>完成日</t>
        </is>
      </c>
      <c r="F14" s="6" t="inlineStr">
        <is>
          <t>负责人</t>
        </is>
      </c>
      <c r="G14" s="6" t="inlineStr">
        <is>
          <t>验收标准</t>
        </is>
      </c>
    </row>
    <row r="15" ht="56" customHeight="1" s="106">
      <c r="A15" s="21" t="inlineStr">
        <is>
          <t>主图</t>
        </is>
      </c>
      <c r="B15" s="21" t="inlineStr">
        <is>
          <t>磁吸自拍杆完整形态和核心结构</t>
        </is>
      </c>
      <c r="C15" s="21" t="inlineStr">
        <is>
          <t>白底、产品占画面大、配件整齐、不可虚构功能</t>
        </is>
      </c>
      <c r="D15" s="21" t="inlineStr">
        <is>
          <t>提高搜索CTR</t>
        </is>
      </c>
      <c r="E15" s="21" t="inlineStr">
        <is>
          <t>D2</t>
        </is>
      </c>
      <c r="F15" s="38" t="inlineStr">
        <is>
          <t>美工</t>
        </is>
      </c>
      <c r="G15" s="21" t="inlineStr">
        <is>
          <t>手机端缩略图仍能看清磁吸结构</t>
        </is>
      </c>
    </row>
    <row r="16" ht="56" customHeight="1" s="106">
      <c r="A16" s="21" t="inlineStr">
        <is>
          <t>副图1：磁吸</t>
        </is>
      </c>
      <c r="B16" s="21" t="inlineStr">
        <is>
          <t>如何安装、兼容范围、稳定性</t>
        </is>
      </c>
      <c r="C16" s="21" t="inlineStr">
        <is>
          <t>近景＋真实手机；吸力数据仅写实测值</t>
        </is>
      </c>
      <c r="D16" s="21" t="inlineStr">
        <is>
          <t>减少磁吸疑虑</t>
        </is>
      </c>
      <c r="E16" s="21" t="inlineStr">
        <is>
          <t>D2</t>
        </is>
      </c>
      <c r="F16" s="38" t="inlineStr">
        <is>
          <t>美工</t>
        </is>
      </c>
      <c r="G16" s="21" t="inlineStr">
        <is>
          <t>一眼看懂安装方式</t>
        </is>
      </c>
    </row>
    <row r="17" ht="56" customHeight="1" s="106">
      <c r="A17" s="21" t="inlineStr">
        <is>
          <t>副图2：自拍杆</t>
        </is>
      </c>
      <c r="B17" s="21" t="inlineStr">
        <is>
          <t>展开长度、收纳长度、重量</t>
        </is>
      </c>
      <c r="C17" s="21" t="inlineStr">
        <is>
          <t>标注真实尺寸并有人物比例</t>
        </is>
      </c>
      <c r="D17" s="21" t="inlineStr">
        <is>
          <t>证明便携和拍摄距离</t>
        </is>
      </c>
      <c r="E17" s="21" t="inlineStr">
        <is>
          <t>D2</t>
        </is>
      </c>
      <c r="F17" s="38" t="inlineStr">
        <is>
          <t>美工</t>
        </is>
      </c>
      <c r="G17" s="21" t="inlineStr">
        <is>
          <t>尺寸与实物/说明书一致</t>
        </is>
      </c>
    </row>
    <row r="18" ht="56" customHeight="1" s="106">
      <c r="A18" s="21" t="inlineStr">
        <is>
          <t>副图3：三脚架</t>
        </is>
      </c>
      <c r="B18" s="21" t="inlineStr">
        <is>
          <t>展开方式和桌面/户外稳定场景</t>
        </is>
      </c>
      <c r="C18" s="21" t="inlineStr">
        <is>
          <t>展示完整脚架落地，不夸大抗风</t>
        </is>
      </c>
      <c r="D18" s="21" t="inlineStr">
        <is>
          <t>突出多功能价值</t>
        </is>
      </c>
      <c r="E18" s="21" t="inlineStr">
        <is>
          <t>D2</t>
        </is>
      </c>
      <c r="F18" s="38" t="inlineStr">
        <is>
          <t>美工</t>
        </is>
      </c>
      <c r="G18" s="21" t="inlineStr">
        <is>
          <t>消费者能看懂如何切换</t>
        </is>
      </c>
    </row>
    <row r="19" ht="56" customHeight="1" s="106">
      <c r="A19" s="21" t="inlineStr">
        <is>
          <t>副图4：遥控</t>
        </is>
      </c>
      <c r="B19" s="21" t="inlineStr">
        <is>
          <t>遥控连接与拍照步骤</t>
        </is>
      </c>
      <c r="C19" s="21" t="inlineStr">
        <is>
          <t>仅产品真实含遥控时制作</t>
        </is>
      </c>
      <c r="D19" s="21" t="inlineStr">
        <is>
          <t>提升自拍便利感</t>
        </is>
      </c>
      <c r="E19" s="21" t="inlineStr">
        <is>
          <t>D2</t>
        </is>
      </c>
      <c r="F19" s="38" t="inlineStr">
        <is>
          <t>美工</t>
        </is>
      </c>
      <c r="G19" s="21" t="inlineStr">
        <is>
          <t>3步以内讲清操作</t>
        </is>
      </c>
    </row>
    <row r="20" ht="56" customHeight="1" s="106">
      <c r="A20" s="21" t="inlineStr">
        <is>
          <t>副图5：兼容性</t>
        </is>
      </c>
      <c r="B20" s="21" t="inlineStr">
        <is>
          <t>兼容手机型号/磁吸条件</t>
        </is>
      </c>
      <c r="C20" s="21" t="inlineStr">
        <is>
          <t>区分原生磁吸与磁环辅助</t>
        </is>
      </c>
      <c r="D20" s="21" t="inlineStr">
        <is>
          <t>减少退货和差评</t>
        </is>
      </c>
      <c r="E20" s="21" t="inlineStr">
        <is>
          <t>D2</t>
        </is>
      </c>
      <c r="F20" s="38" t="inlineStr">
        <is>
          <t>美工</t>
        </is>
      </c>
      <c r="G20" s="21" t="inlineStr">
        <is>
          <t>不使用未经验证的兼容承诺</t>
        </is>
      </c>
    </row>
    <row r="21" ht="56" customHeight="1" s="106">
      <c r="A21" s="21" t="inlineStr">
        <is>
          <t>副图6：场景</t>
        </is>
      </c>
      <c r="B21" s="21" t="inlineStr">
        <is>
          <t>旅行、聚会、桌面视频、家庭合影</t>
        </is>
      </c>
      <c r="C21" s="21" t="inlineStr">
        <is>
          <t>真实自然光和真实使用姿态</t>
        </is>
      </c>
      <c r="D21" s="21" t="inlineStr">
        <is>
          <t>扩大使用需求</t>
        </is>
      </c>
      <c r="E21" s="21" t="inlineStr">
        <is>
          <t>D7</t>
        </is>
      </c>
      <c r="F21" s="38" t="inlineStr">
        <is>
          <t>美工</t>
        </is>
      </c>
      <c r="G21" s="21" t="inlineStr">
        <is>
          <t>至少覆盖3种高频场景</t>
        </is>
      </c>
    </row>
    <row r="22" ht="56" customHeight="1" s="106">
      <c r="A22" s="21" t="inlineStr">
        <is>
          <t>Listing视频</t>
        </is>
      </c>
      <c r="B22" s="21" t="inlineStr">
        <is>
          <t>磁吸安装→拉伸→三脚架→遥控拍摄</t>
        </is>
      </c>
      <c r="C22" s="21" t="inlineStr">
        <is>
          <t>30–45秒；前3秒必须出现核心功能</t>
        </is>
      </c>
      <c r="D22" s="21" t="inlineStr">
        <is>
          <t>提高理解与转化</t>
        </is>
      </c>
      <c r="E22" s="21" t="inlineStr">
        <is>
          <t>D5</t>
        </is>
      </c>
      <c r="F22" s="38" t="inlineStr">
        <is>
          <t>视频</t>
        </is>
      </c>
      <c r="G22" s="21" t="inlineStr">
        <is>
          <t>无长时间片头，产品细节一致</t>
        </is>
      </c>
    </row>
    <row r="23" ht="56" customHeight="1" s="106">
      <c r="A23" s="21" t="inlineStr">
        <is>
          <t>短视频3条</t>
        </is>
      </c>
      <c r="B23" s="21" t="inlineStr">
        <is>
          <t>磁吸即装、形态切换、旅行拍摄</t>
        </is>
      </c>
      <c r="C23" s="21" t="inlineStr">
        <is>
          <t>每条约15秒，竖版，结尾有购买理由</t>
        </is>
      </c>
      <c r="D23" s="21" t="inlineStr">
        <is>
          <t>站内视频广告</t>
        </is>
      </c>
      <c r="E23" s="21" t="inlineStr">
        <is>
          <t>D5</t>
        </is>
      </c>
      <c r="F23" s="38" t="inlineStr">
        <is>
          <t>视频</t>
        </is>
      </c>
      <c r="G23" s="21" t="inlineStr">
        <is>
          <t>每条只讲一个卖点</t>
        </is>
      </c>
    </row>
    <row r="24" ht="12" customHeight="1" s="106">
      <c r="A24" s="5" t="n"/>
      <c r="B24" s="5" t="n"/>
      <c r="C24" s="5" t="n"/>
      <c r="D24" s="5" t="n"/>
      <c r="E24" s="5" t="n"/>
      <c r="F24" s="5" t="n"/>
      <c r="G24" s="5" t="n"/>
    </row>
    <row r="25" ht="36" customHeight="1" s="106">
      <c r="A25" s="39" t="inlineStr">
        <is>
          <t>真实性红线：MagSafe兼容、遥控、长度、重量、承重、吸力、360°等卖点，只有产品真实具备且能证明时才可用于Listing和广告。</t>
        </is>
      </c>
    </row>
    <row r="27" s="106"/>
  </sheetData>
  <mergeCells count="4">
    <mergeCell ref="A13:G13"/>
    <mergeCell ref="A3:G3"/>
    <mergeCell ref="A1:G1"/>
    <mergeCell ref="A25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R5" sqref="R5"/>
    </sheetView>
  </sheetViews>
  <sheetFormatPr baseColWidth="8" defaultColWidth="9" defaultRowHeight="14"/>
  <cols>
    <col width="13" customWidth="1" style="106" min="1" max="1"/>
    <col width="18" customWidth="1" style="106" min="2" max="2"/>
    <col width="8" customWidth="1" style="106" min="3" max="3"/>
    <col width="11" customWidth="1" style="106" min="4" max="5"/>
    <col width="13" customWidth="1" style="106" min="6" max="6"/>
    <col width="11" customWidth="1" style="106" min="7" max="8"/>
    <col width="13" customWidth="1" style="106" min="9" max="9"/>
    <col width="14" customWidth="1" style="106" min="10" max="10"/>
    <col width="15" customWidth="1" style="106" min="11" max="12"/>
    <col width="11" customWidth="1" style="106" min="13" max="13"/>
    <col width="13" customWidth="1" style="106" min="14" max="14"/>
    <col width="27" customWidth="1" style="106" min="15" max="15"/>
    <col width="24" customWidth="1" style="106" min="16" max="16"/>
    <col width="32" customWidth="1" style="106" min="17" max="17"/>
    <col width="12" customWidth="1" style="106" min="18" max="18"/>
  </cols>
  <sheetData>
    <row r="1" ht="34" customHeight="1" s="106">
      <c r="A1" s="107" t="inlineStr">
        <is>
          <t>每日推广结果回填（只保留与流量、销量直接相关的数据）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9" t="n"/>
    </row>
    <row r="2" ht="32" customHeight="1" s="106">
      <c r="A2" s="4" t="inlineStr">
        <is>
          <t>每天上午回填前一日结果。老板重点看：目标会话是否完成、目标订单是否完成、哪个推广渠道真正带来订单，以及第二天准备放大什么。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38" customHeight="1" s="106">
      <c r="A4" s="6" t="inlineStr">
        <is>
          <t>日期</t>
        </is>
      </c>
      <c r="B4" s="6" t="inlineStr">
        <is>
          <t>周期</t>
        </is>
      </c>
      <c r="C4" s="6" t="inlineStr">
        <is>
          <t>天数</t>
        </is>
      </c>
      <c r="D4" s="6" t="inlineStr">
        <is>
          <t>目标会话</t>
        </is>
      </c>
      <c r="E4" s="6" t="inlineStr">
        <is>
          <t>实际会话</t>
        </is>
      </c>
      <c r="F4" s="6" t="inlineStr">
        <is>
          <t>会话完成率</t>
        </is>
      </c>
      <c r="G4" s="6" t="inlineStr">
        <is>
          <t>目标订单</t>
        </is>
      </c>
      <c r="H4" s="6" t="inlineStr">
        <is>
          <t>实际订单</t>
        </is>
      </c>
      <c r="I4" s="6" t="inlineStr">
        <is>
          <t>订单完成率</t>
        </is>
      </c>
      <c r="J4" s="6" t="inlineStr">
        <is>
          <t>实际销售额</t>
        </is>
      </c>
      <c r="K4" s="6" t="inlineStr">
        <is>
          <t>站内广告花费</t>
        </is>
      </c>
      <c r="L4" s="6" t="inlineStr">
        <is>
          <t>站外/内容花费</t>
        </is>
      </c>
      <c r="M4" s="6" t="inlineStr">
        <is>
          <t>实际CVR</t>
        </is>
      </c>
      <c r="N4" s="6" t="inlineStr">
        <is>
          <t>推广费用率</t>
        </is>
      </c>
      <c r="O4" s="29" t="inlineStr">
        <is>
          <t>核心词排名变化</t>
        </is>
      </c>
      <c r="P4" s="6" t="inlineStr">
        <is>
          <t>当天最有效渠道</t>
        </is>
      </c>
      <c r="Q4" s="6" t="inlineStr">
        <is>
          <t>第二天放大动作</t>
        </is>
      </c>
      <c r="R4" s="6" t="inlineStr">
        <is>
          <t>状态</t>
        </is>
      </c>
    </row>
    <row r="5" ht="45" customHeight="1" s="106">
      <c r="A5" s="146">
        <f>'15天推广计划'!C5</f>
        <v/>
      </c>
      <c r="B5" s="31" t="inlineStr">
        <is>
          <t>周期1｜基础启动</t>
        </is>
      </c>
      <c r="C5" s="31" t="inlineStr">
        <is>
          <t>D1</t>
        </is>
      </c>
      <c r="D5" s="31">
        <f>'15天推广计划'!K5</f>
        <v/>
      </c>
      <c r="E5" s="32" t="n"/>
      <c r="F5" s="33">
        <f>IF(E5="","",IFERROR(E5/D5,0))</f>
        <v/>
      </c>
      <c r="G5" s="31">
        <f>'15天推广计划'!L5</f>
        <v/>
      </c>
      <c r="H5" s="32" t="n"/>
      <c r="I5" s="33">
        <f>IF(H5="","",IFERROR(H5/G5,0))</f>
        <v/>
      </c>
      <c r="J5" s="147" t="n"/>
      <c r="K5" s="147" t="n"/>
      <c r="L5" s="147" t="n"/>
      <c r="M5" s="148">
        <f>IF(E5="","",IFERROR(H5/E5,0))</f>
        <v/>
      </c>
      <c r="N5" s="148">
        <f>IF(J5="","",IFERROR((K5+L5)/J5,0))</f>
        <v/>
      </c>
      <c r="O5" s="32" t="n"/>
      <c r="P5" s="32" t="n"/>
      <c r="Q5" s="32" t="n"/>
      <c r="R5" s="31">
        <f>IF(E5="","",IF(AND(F5&gt;=1,I5&gt;=1),"达标",IF(OR(F5&lt;0.8,I5&lt;0.8),"未达标","接近目标")))</f>
        <v/>
      </c>
    </row>
    <row r="6" ht="45" customHeight="1" s="106">
      <c r="A6" s="146">
        <f>'15天推广计划'!C6</f>
        <v/>
      </c>
      <c r="B6" s="31" t="inlineStr">
        <is>
          <t>周期1｜基础启动</t>
        </is>
      </c>
      <c r="C6" s="31" t="inlineStr">
        <is>
          <t>D2</t>
        </is>
      </c>
      <c r="D6" s="31">
        <f>'15天推广计划'!K6</f>
        <v/>
      </c>
      <c r="E6" s="32" t="n"/>
      <c r="F6" s="33">
        <f>IF(E6="","",IFERROR(E6/D6,0))</f>
        <v/>
      </c>
      <c r="G6" s="31">
        <f>'15天推广计划'!L6</f>
        <v/>
      </c>
      <c r="H6" s="32" t="n"/>
      <c r="I6" s="33">
        <f>IF(H6="","",IFERROR(H6/G6,0))</f>
        <v/>
      </c>
      <c r="J6" s="147" t="n"/>
      <c r="K6" s="147" t="n"/>
      <c r="L6" s="147" t="n"/>
      <c r="M6" s="148">
        <f>IF(E6="","",IFERROR(H6/E6,0))</f>
        <v/>
      </c>
      <c r="N6" s="148">
        <f>IF(J6="","",IFERROR((K6+L6)/J6,0))</f>
        <v/>
      </c>
      <c r="O6" s="32" t="n"/>
      <c r="P6" s="32" t="n"/>
      <c r="Q6" s="32" t="n"/>
      <c r="R6" s="31">
        <f>IF(E6="","",IF(AND(F6&gt;=1,I6&gt;=1),"达标",IF(OR(F6&lt;0.8,I6&lt;0.8),"未达标","接近目标")))</f>
        <v/>
      </c>
    </row>
    <row r="7" ht="45" customHeight="1" s="106">
      <c r="A7" s="146">
        <f>'15天推广计划'!C7</f>
        <v/>
      </c>
      <c r="B7" s="31" t="inlineStr">
        <is>
          <t>周期1｜基础启动</t>
        </is>
      </c>
      <c r="C7" s="31" t="inlineStr">
        <is>
          <t>D3</t>
        </is>
      </c>
      <c r="D7" s="31">
        <f>'15天推广计划'!K7</f>
        <v/>
      </c>
      <c r="E7" s="32" t="n"/>
      <c r="F7" s="33">
        <f>IF(E7="","",IFERROR(E7/D7,0))</f>
        <v/>
      </c>
      <c r="G7" s="31">
        <f>'15天推广计划'!L7</f>
        <v/>
      </c>
      <c r="H7" s="32" t="n"/>
      <c r="I7" s="33">
        <f>IF(H7="","",IFERROR(H7/G7,0))</f>
        <v/>
      </c>
      <c r="J7" s="147" t="n"/>
      <c r="K7" s="147" t="n"/>
      <c r="L7" s="147" t="n"/>
      <c r="M7" s="148">
        <f>IF(E7="","",IFERROR(H7/E7,0))</f>
        <v/>
      </c>
      <c r="N7" s="148">
        <f>IF(J7="","",IFERROR((K7+L7)/J7,0))</f>
        <v/>
      </c>
      <c r="O7" s="32" t="n"/>
      <c r="P7" s="32" t="n"/>
      <c r="Q7" s="32" t="n"/>
      <c r="R7" s="31">
        <f>IF(E7="","",IF(AND(F7&gt;=1,I7&gt;=1),"达标",IF(OR(F7&lt;0.8,I7&lt;0.8),"未达标","接近目标")))</f>
        <v/>
      </c>
    </row>
    <row r="8" ht="45" customHeight="1" s="106">
      <c r="A8" s="146">
        <f>'15天推广计划'!C8</f>
        <v/>
      </c>
      <c r="B8" s="31" t="inlineStr">
        <is>
          <t>周期1｜基础启动</t>
        </is>
      </c>
      <c r="C8" s="31" t="inlineStr">
        <is>
          <t>D4</t>
        </is>
      </c>
      <c r="D8" s="31">
        <f>'15天推广计划'!K8</f>
        <v/>
      </c>
      <c r="E8" s="32" t="n"/>
      <c r="F8" s="33">
        <f>IF(E8="","",IFERROR(E8/D8,0))</f>
        <v/>
      </c>
      <c r="G8" s="31">
        <f>'15天推广计划'!L8</f>
        <v/>
      </c>
      <c r="H8" s="32" t="n"/>
      <c r="I8" s="33">
        <f>IF(H8="","",IFERROR(H8/G8,0))</f>
        <v/>
      </c>
      <c r="J8" s="147" t="n"/>
      <c r="K8" s="147" t="n"/>
      <c r="L8" s="147" t="n"/>
      <c r="M8" s="148">
        <f>IF(E8="","",IFERROR(H8/E8,0))</f>
        <v/>
      </c>
      <c r="N8" s="148">
        <f>IF(J8="","",IFERROR((K8+L8)/J8,0))</f>
        <v/>
      </c>
      <c r="O8" s="32" t="n"/>
      <c r="P8" s="32" t="n"/>
      <c r="Q8" s="32" t="n"/>
      <c r="R8" s="31">
        <f>IF(E8="","",IF(AND(F8&gt;=1,I8&gt;=1),"达标",IF(OR(F8&lt;0.8,I8&lt;0.8),"未达标","接近目标")))</f>
        <v/>
      </c>
    </row>
    <row r="9" ht="45" customHeight="1" s="106">
      <c r="A9" s="146">
        <f>'15天推广计划'!C9</f>
        <v/>
      </c>
      <c r="B9" s="31" t="inlineStr">
        <is>
          <t>周期1｜基础启动</t>
        </is>
      </c>
      <c r="C9" s="31" t="inlineStr">
        <is>
          <t>D5</t>
        </is>
      </c>
      <c r="D9" s="31">
        <f>'15天推广计划'!K9</f>
        <v/>
      </c>
      <c r="E9" s="32" t="n"/>
      <c r="F9" s="33">
        <f>IF(E9="","",IFERROR(E9/D9,0))</f>
        <v/>
      </c>
      <c r="G9" s="31">
        <f>'15天推广计划'!L9</f>
        <v/>
      </c>
      <c r="H9" s="32" t="n"/>
      <c r="I9" s="33">
        <f>IF(H9="","",IFERROR(H9/G9,0))</f>
        <v/>
      </c>
      <c r="J9" s="147" t="n"/>
      <c r="K9" s="147" t="n"/>
      <c r="L9" s="147" t="n"/>
      <c r="M9" s="148">
        <f>IF(E9="","",IFERROR(H9/E9,0))</f>
        <v/>
      </c>
      <c r="N9" s="148">
        <f>IF(J9="","",IFERROR((K9+L9)/J9,0))</f>
        <v/>
      </c>
      <c r="O9" s="32" t="n"/>
      <c r="P9" s="32" t="n"/>
      <c r="Q9" s="32" t="n"/>
      <c r="R9" s="31">
        <f>IF(E9="","",IF(AND(F9&gt;=1,I9&gt;=1),"达标",IF(OR(F9&lt;0.8,I9&lt;0.8),"未达标","接近目标")))</f>
        <v/>
      </c>
    </row>
    <row r="10" ht="45" customHeight="1" s="106">
      <c r="A10" s="146">
        <f>'15天推广计划'!C10</f>
        <v/>
      </c>
      <c r="B10" s="31" t="inlineStr">
        <is>
          <t>周期2｜扩大流量</t>
        </is>
      </c>
      <c r="C10" s="31" t="inlineStr">
        <is>
          <t>D6</t>
        </is>
      </c>
      <c r="D10" s="31">
        <f>'15天推广计划'!K10</f>
        <v/>
      </c>
      <c r="E10" s="32" t="n"/>
      <c r="F10" s="33">
        <f>IF(E10="","",IFERROR(E10/D10,0))</f>
        <v/>
      </c>
      <c r="G10" s="31">
        <f>'15天推广计划'!L10</f>
        <v/>
      </c>
      <c r="H10" s="32" t="n"/>
      <c r="I10" s="33">
        <f>IF(H10="","",IFERROR(H10/G10,0))</f>
        <v/>
      </c>
      <c r="J10" s="147" t="n"/>
      <c r="K10" s="147" t="n"/>
      <c r="L10" s="147" t="n"/>
      <c r="M10" s="148">
        <f>IF(E10="","",IFERROR(H10/E10,0))</f>
        <v/>
      </c>
      <c r="N10" s="148">
        <f>IF(J10="","",IFERROR((K10+L10)/J10,0))</f>
        <v/>
      </c>
      <c r="O10" s="32" t="n"/>
      <c r="P10" s="32" t="n"/>
      <c r="Q10" s="32" t="n"/>
      <c r="R10" s="31">
        <f>IF(E10="","",IF(AND(F10&gt;=1,I10&gt;=1),"达标",IF(OR(F10&lt;0.8,I10&lt;0.8),"未达标","接近目标")))</f>
        <v/>
      </c>
    </row>
    <row r="11" ht="45" customHeight="1" s="106">
      <c r="A11" s="146">
        <f>'15天推广计划'!C11</f>
        <v/>
      </c>
      <c r="B11" s="31" t="inlineStr">
        <is>
          <t>周期2｜扩大流量</t>
        </is>
      </c>
      <c r="C11" s="31" t="inlineStr">
        <is>
          <t>D7</t>
        </is>
      </c>
      <c r="D11" s="31">
        <f>'15天推广计划'!K11</f>
        <v/>
      </c>
      <c r="E11" s="32" t="n"/>
      <c r="F11" s="33">
        <f>IF(E11="","",IFERROR(E11/D11,0))</f>
        <v/>
      </c>
      <c r="G11" s="31">
        <f>'15天推广计划'!L11</f>
        <v/>
      </c>
      <c r="H11" s="32" t="n"/>
      <c r="I11" s="33">
        <f>IF(H11="","",IFERROR(H11/G11,0))</f>
        <v/>
      </c>
      <c r="J11" s="147" t="n"/>
      <c r="K11" s="147" t="n"/>
      <c r="L11" s="147" t="n"/>
      <c r="M11" s="148">
        <f>IF(E11="","",IFERROR(H11/E11,0))</f>
        <v/>
      </c>
      <c r="N11" s="148">
        <f>IF(J11="","",IFERROR((K11+L11)/J11,0))</f>
        <v/>
      </c>
      <c r="O11" s="32" t="n"/>
      <c r="P11" s="32" t="n"/>
      <c r="Q11" s="32" t="n"/>
      <c r="R11" s="31">
        <f>IF(E11="","",IF(AND(F11&gt;=1,I11&gt;=1),"达标",IF(OR(F11&lt;0.8,I11&lt;0.8),"未达标","接近目标")))</f>
        <v/>
      </c>
    </row>
    <row r="12" ht="45" customHeight="1" s="106">
      <c r="A12" s="146">
        <f>'15天推广计划'!C12</f>
        <v/>
      </c>
      <c r="B12" s="31" t="inlineStr">
        <is>
          <t>周期2｜扩大流量</t>
        </is>
      </c>
      <c r="C12" s="31" t="inlineStr">
        <is>
          <t>D8</t>
        </is>
      </c>
      <c r="D12" s="31">
        <f>'15天推广计划'!K12</f>
        <v/>
      </c>
      <c r="E12" s="32" t="n"/>
      <c r="F12" s="33">
        <f>IF(E12="","",IFERROR(E12/D12,0))</f>
        <v/>
      </c>
      <c r="G12" s="31">
        <f>'15天推广计划'!L12</f>
        <v/>
      </c>
      <c r="H12" s="32" t="n"/>
      <c r="I12" s="33">
        <f>IF(H12="","",IFERROR(H12/G12,0))</f>
        <v/>
      </c>
      <c r="J12" s="147" t="n"/>
      <c r="K12" s="147" t="n"/>
      <c r="L12" s="147" t="n"/>
      <c r="M12" s="148">
        <f>IF(E12="","",IFERROR(H12/E12,0))</f>
        <v/>
      </c>
      <c r="N12" s="148">
        <f>IF(J12="","",IFERROR((K12+L12)/J12,0))</f>
        <v/>
      </c>
      <c r="O12" s="32" t="n"/>
      <c r="P12" s="32" t="n"/>
      <c r="Q12" s="32" t="n"/>
      <c r="R12" s="31">
        <f>IF(E12="","",IF(AND(F12&gt;=1,I12&gt;=1),"达标",IF(OR(F12&lt;0.8,I12&lt;0.8),"未达标","接近目标")))</f>
        <v/>
      </c>
    </row>
    <row r="13" ht="45" customHeight="1" s="106">
      <c r="A13" s="146">
        <f>'15天推广计划'!C13</f>
        <v/>
      </c>
      <c r="B13" s="31" t="inlineStr">
        <is>
          <t>周期2｜扩大流量</t>
        </is>
      </c>
      <c r="C13" s="31" t="inlineStr">
        <is>
          <t>D9</t>
        </is>
      </c>
      <c r="D13" s="31">
        <f>'15天推广计划'!K13</f>
        <v/>
      </c>
      <c r="E13" s="32" t="n"/>
      <c r="F13" s="33">
        <f>IF(E13="","",IFERROR(E13/D13,0))</f>
        <v/>
      </c>
      <c r="G13" s="31">
        <f>'15天推广计划'!L13</f>
        <v/>
      </c>
      <c r="H13" s="32" t="n"/>
      <c r="I13" s="33">
        <f>IF(H13="","",IFERROR(H13/G13,0))</f>
        <v/>
      </c>
      <c r="J13" s="147" t="n"/>
      <c r="K13" s="147" t="n"/>
      <c r="L13" s="147" t="n"/>
      <c r="M13" s="148">
        <f>IF(E13="","",IFERROR(H13/E13,0))</f>
        <v/>
      </c>
      <c r="N13" s="148">
        <f>IF(J13="","",IFERROR((K13+L13)/J13,0))</f>
        <v/>
      </c>
      <c r="O13" s="32" t="n"/>
      <c r="P13" s="32" t="n"/>
      <c r="Q13" s="32" t="n"/>
      <c r="R13" s="31">
        <f>IF(E13="","",IF(AND(F13&gt;=1,I13&gt;=1),"达标",IF(OR(F13&lt;0.8,I13&lt;0.8),"未达标","接近目标")))</f>
        <v/>
      </c>
    </row>
    <row r="14" ht="45" customHeight="1" s="106">
      <c r="A14" s="146">
        <f>'15天推广计划'!C14</f>
        <v/>
      </c>
      <c r="B14" s="31" t="inlineStr">
        <is>
          <t>周期2｜扩大流量</t>
        </is>
      </c>
      <c r="C14" s="31" t="inlineStr">
        <is>
          <t>D10</t>
        </is>
      </c>
      <c r="D14" s="31">
        <f>'15天推广计划'!K14</f>
        <v/>
      </c>
      <c r="E14" s="32" t="n"/>
      <c r="F14" s="33">
        <f>IF(E14="","",IFERROR(E14/D14,0))</f>
        <v/>
      </c>
      <c r="G14" s="31">
        <f>'15天推广计划'!L14</f>
        <v/>
      </c>
      <c r="H14" s="32" t="n"/>
      <c r="I14" s="33">
        <f>IF(H14="","",IFERROR(H14/G14,0))</f>
        <v/>
      </c>
      <c r="J14" s="147" t="n"/>
      <c r="K14" s="147" t="n"/>
      <c r="L14" s="147" t="n"/>
      <c r="M14" s="148">
        <f>IF(E14="","",IFERROR(H14/E14,0))</f>
        <v/>
      </c>
      <c r="N14" s="148">
        <f>IF(J14="","",IFERROR((K14+L14)/J14,0))</f>
        <v/>
      </c>
      <c r="O14" s="32" t="n"/>
      <c r="P14" s="32" t="n"/>
      <c r="Q14" s="32" t="n"/>
      <c r="R14" s="31">
        <f>IF(E14="","",IF(AND(F14&gt;=1,I14&gt;=1),"达标",IF(OR(F14&lt;0.8,I14&lt;0.8),"未达标","接近目标")))</f>
        <v/>
      </c>
    </row>
    <row r="15" ht="45" customHeight="1" s="106">
      <c r="A15" s="146">
        <f>'15天推广计划'!C15</f>
        <v/>
      </c>
      <c r="B15" s="31" t="inlineStr">
        <is>
          <t>周期3｜销量与排名</t>
        </is>
      </c>
      <c r="C15" s="31" t="inlineStr">
        <is>
          <t>D11</t>
        </is>
      </c>
      <c r="D15" s="31">
        <f>'15天推广计划'!K15</f>
        <v/>
      </c>
      <c r="E15" s="32" t="n"/>
      <c r="F15" s="33">
        <f>IF(E15="","",IFERROR(E15/D15,0))</f>
        <v/>
      </c>
      <c r="G15" s="31">
        <f>'15天推广计划'!L15</f>
        <v/>
      </c>
      <c r="H15" s="32" t="n"/>
      <c r="I15" s="33">
        <f>IF(H15="","",IFERROR(H15/G15,0))</f>
        <v/>
      </c>
      <c r="J15" s="147" t="n"/>
      <c r="K15" s="147" t="n"/>
      <c r="L15" s="147" t="n"/>
      <c r="M15" s="148">
        <f>IF(E15="","",IFERROR(H15/E15,0))</f>
        <v/>
      </c>
      <c r="N15" s="148">
        <f>IF(J15="","",IFERROR((K15+L15)/J15,0))</f>
        <v/>
      </c>
      <c r="O15" s="32" t="n"/>
      <c r="P15" s="32" t="n"/>
      <c r="Q15" s="32" t="n"/>
      <c r="R15" s="31">
        <f>IF(E15="","",IF(AND(F15&gt;=1,I15&gt;=1),"达标",IF(OR(F15&lt;0.8,I15&lt;0.8),"未达标","接近目标")))</f>
        <v/>
      </c>
    </row>
    <row r="16" ht="45" customHeight="1" s="106">
      <c r="A16" s="146">
        <f>'15天推广计划'!C16</f>
        <v/>
      </c>
      <c r="B16" s="31" t="inlineStr">
        <is>
          <t>周期3｜销量与排名</t>
        </is>
      </c>
      <c r="C16" s="31" t="inlineStr">
        <is>
          <t>D12</t>
        </is>
      </c>
      <c r="D16" s="31">
        <f>'15天推广计划'!K16</f>
        <v/>
      </c>
      <c r="E16" s="32" t="n"/>
      <c r="F16" s="33">
        <f>IF(E16="","",IFERROR(E16/D16,0))</f>
        <v/>
      </c>
      <c r="G16" s="31">
        <f>'15天推广计划'!L16</f>
        <v/>
      </c>
      <c r="H16" s="32" t="n"/>
      <c r="I16" s="33">
        <f>IF(H16="","",IFERROR(H16/G16,0))</f>
        <v/>
      </c>
      <c r="J16" s="147" t="n"/>
      <c r="K16" s="147" t="n"/>
      <c r="L16" s="147" t="n"/>
      <c r="M16" s="148">
        <f>IF(E16="","",IFERROR(H16/E16,0))</f>
        <v/>
      </c>
      <c r="N16" s="148">
        <f>IF(J16="","",IFERROR((K16+L16)/J16,0))</f>
        <v/>
      </c>
      <c r="O16" s="32" t="n"/>
      <c r="P16" s="32" t="n"/>
      <c r="Q16" s="32" t="n"/>
      <c r="R16" s="31">
        <f>IF(E16="","",IF(AND(F16&gt;=1,I16&gt;=1),"达标",IF(OR(F16&lt;0.8,I16&lt;0.8),"未达标","接近目标")))</f>
        <v/>
      </c>
    </row>
    <row r="17" ht="45" customHeight="1" s="106">
      <c r="A17" s="146">
        <f>'15天推广计划'!C17</f>
        <v/>
      </c>
      <c r="B17" s="31" t="inlineStr">
        <is>
          <t>周期3｜销量与排名</t>
        </is>
      </c>
      <c r="C17" s="31" t="inlineStr">
        <is>
          <t>D13</t>
        </is>
      </c>
      <c r="D17" s="31">
        <f>'15天推广计划'!K17</f>
        <v/>
      </c>
      <c r="E17" s="32" t="n"/>
      <c r="F17" s="33">
        <f>IF(E17="","",IFERROR(E17/D17,0))</f>
        <v/>
      </c>
      <c r="G17" s="31">
        <f>'15天推广计划'!L17</f>
        <v/>
      </c>
      <c r="H17" s="32" t="n"/>
      <c r="I17" s="33">
        <f>IF(H17="","",IFERROR(H17/G17,0))</f>
        <v/>
      </c>
      <c r="J17" s="147" t="n"/>
      <c r="K17" s="147" t="n"/>
      <c r="L17" s="147" t="n"/>
      <c r="M17" s="148">
        <f>IF(E17="","",IFERROR(H17/E17,0))</f>
        <v/>
      </c>
      <c r="N17" s="148">
        <f>IF(J17="","",IFERROR((K17+L17)/J17,0))</f>
        <v/>
      </c>
      <c r="O17" s="32" t="n"/>
      <c r="P17" s="32" t="n"/>
      <c r="Q17" s="32" t="n"/>
      <c r="R17" s="31">
        <f>IF(E17="","",IF(AND(F17&gt;=1,I17&gt;=1),"达标",IF(OR(F17&lt;0.8,I17&lt;0.8),"未达标","接近目标")))</f>
        <v/>
      </c>
    </row>
    <row r="18" ht="45" customHeight="1" s="106">
      <c r="A18" s="146">
        <f>'15天推广计划'!C18</f>
        <v/>
      </c>
      <c r="B18" s="31" t="inlineStr">
        <is>
          <t>周期3｜销量与排名</t>
        </is>
      </c>
      <c r="C18" s="31" t="inlineStr">
        <is>
          <t>D14</t>
        </is>
      </c>
      <c r="D18" s="31">
        <f>'15天推广计划'!K18</f>
        <v/>
      </c>
      <c r="E18" s="32" t="n"/>
      <c r="F18" s="33">
        <f>IF(E18="","",IFERROR(E18/D18,0))</f>
        <v/>
      </c>
      <c r="G18" s="31">
        <f>'15天推广计划'!L18</f>
        <v/>
      </c>
      <c r="H18" s="32" t="n"/>
      <c r="I18" s="33">
        <f>IF(H18="","",IFERROR(H18/G18,0))</f>
        <v/>
      </c>
      <c r="J18" s="147" t="n"/>
      <c r="K18" s="147" t="n"/>
      <c r="L18" s="147" t="n"/>
      <c r="M18" s="148">
        <f>IF(E18="","",IFERROR(H18/E18,0))</f>
        <v/>
      </c>
      <c r="N18" s="148">
        <f>IF(J18="","",IFERROR((K18+L18)/J18,0))</f>
        <v/>
      </c>
      <c r="O18" s="32" t="n"/>
      <c r="P18" s="32" t="n"/>
      <c r="Q18" s="32" t="n"/>
      <c r="R18" s="31">
        <f>IF(E18="","",IF(AND(F18&gt;=1,I18&gt;=1),"达标",IF(OR(F18&lt;0.8,I18&lt;0.8),"未达标","接近目标")))</f>
        <v/>
      </c>
    </row>
    <row r="19" ht="45" customHeight="1" s="106">
      <c r="A19" s="146">
        <f>'15天推广计划'!C19</f>
        <v/>
      </c>
      <c r="B19" s="31" t="inlineStr">
        <is>
          <t>周期3｜销量与排名</t>
        </is>
      </c>
      <c r="C19" s="31" t="inlineStr">
        <is>
          <t>D15</t>
        </is>
      </c>
      <c r="D19" s="31">
        <f>'15天推广计划'!K19</f>
        <v/>
      </c>
      <c r="E19" s="32" t="n"/>
      <c r="F19" s="33">
        <f>IF(E19="","",IFERROR(E19/D19,0))</f>
        <v/>
      </c>
      <c r="G19" s="31">
        <f>'15天推广计划'!L19</f>
        <v/>
      </c>
      <c r="H19" s="32" t="n"/>
      <c r="I19" s="33">
        <f>IF(H19="","",IFERROR(H19/G19,0))</f>
        <v/>
      </c>
      <c r="J19" s="147" t="n"/>
      <c r="K19" s="147" t="n"/>
      <c r="L19" s="147" t="n"/>
      <c r="M19" s="148">
        <f>IF(E19="","",IFERROR(H19/E19,0))</f>
        <v/>
      </c>
      <c r="N19" s="148">
        <f>IF(J19="","",IFERROR((K19+L19)/J19,0))</f>
        <v/>
      </c>
      <c r="O19" s="32" t="n"/>
      <c r="P19" s="32" t="n"/>
      <c r="Q19" s="32" t="n"/>
      <c r="R19" s="31">
        <f>IF(E19="","",IF(AND(F19&gt;=1,I19&gt;=1),"达标",IF(OR(F19&lt;0.8,I19&lt;0.8),"未达标","接近目标")))</f>
        <v/>
      </c>
    </row>
  </sheetData>
  <mergeCells count="2">
    <mergeCell ref="A2:R2"/>
    <mergeCell ref="A1:R1"/>
  </mergeCells>
  <conditionalFormatting sqref="R5:R19">
    <cfRule type="containsText" priority="1" operator="between" dxfId="0" text="达标">
      <formula>NOT(ISERROR(SEARCH("达标",R5)))</formula>
    </cfRule>
    <cfRule type="containsText" priority="2" operator="between" dxfId="1" text="未达标">
      <formula>NOT(ISERROR(SEARCH("未达标",R5)))</formula>
    </cfRule>
    <cfRule type="containsText" priority="3" operator="between" dxfId="2" text="接近目标">
      <formula>NOT(ISERROR(SEARCH("接近目标",R5)))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B13" sqref="B13"/>
    </sheetView>
  </sheetViews>
  <sheetFormatPr baseColWidth="8" defaultColWidth="9" defaultRowHeight="14"/>
  <cols>
    <col width="14" customWidth="1" style="106" min="1" max="1"/>
    <col width="15" customWidth="1" style="106" min="2" max="2"/>
    <col width="11" customWidth="1" style="106" min="3" max="3"/>
    <col width="14" customWidth="1" style="106" min="4" max="5"/>
    <col width="11" customWidth="1" style="106" min="6" max="7"/>
    <col width="10" customWidth="1" style="106" min="8" max="10"/>
  </cols>
  <sheetData>
    <row r="1" ht="34" customHeight="1" s="106">
      <c r="A1" s="107" t="inlineStr">
        <is>
          <t>M080PRO 最近5天推广数据基线（来自用户截图）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9" t="n"/>
    </row>
    <row r="2" ht="36" customHeight="1" s="106">
      <c r="A2" s="4" t="inlineStr">
        <is>
          <t>用途：只用于确定推广起点。最近5天整体转化率不差，真正需要提升的是高质量会话数；但最近2天流量和转化同时下滑，因此推广必须同时兼顾“拉流量”和“保转化”。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8" customHeight="1" s="106">
      <c r="A4" s="6" t="inlineStr">
        <is>
          <t>日期</t>
        </is>
      </c>
      <c r="B4" s="6" t="inlineStr">
        <is>
          <t>广告销售额</t>
        </is>
      </c>
      <c r="C4" s="6" t="inlineStr">
        <is>
          <t>广告订单</t>
        </is>
      </c>
      <c r="D4" s="6" t="inlineStr">
        <is>
          <t>广告花费</t>
        </is>
      </c>
      <c r="E4" s="6" t="inlineStr">
        <is>
          <t>总销售额</t>
        </is>
      </c>
      <c r="F4" s="6" t="inlineStr">
        <is>
          <t>总订单</t>
        </is>
      </c>
      <c r="G4" s="6" t="inlineStr">
        <is>
          <t>会话数</t>
        </is>
      </c>
      <c r="H4" s="6" t="inlineStr">
        <is>
          <t>CVR</t>
        </is>
      </c>
      <c r="I4" s="6" t="inlineStr">
        <is>
          <t>ACoS</t>
        </is>
      </c>
      <c r="J4" s="6" t="inlineStr">
        <is>
          <t>TACoS</t>
        </is>
      </c>
    </row>
    <row r="5" ht="28" customHeight="1" s="106">
      <c r="A5" s="149" t="n">
        <v>46259</v>
      </c>
      <c r="B5" s="137" t="n">
        <v>119.45</v>
      </c>
      <c r="C5" s="9" t="n">
        <v>5</v>
      </c>
      <c r="D5" s="137" t="n">
        <v>35.81</v>
      </c>
      <c r="E5" s="137" t="n">
        <v>549.47</v>
      </c>
      <c r="F5" s="9" t="n">
        <v>23</v>
      </c>
      <c r="G5" s="9" t="n">
        <v>95</v>
      </c>
      <c r="H5" s="138">
        <f>IFERROR(F5/G5,0)</f>
        <v/>
      </c>
      <c r="I5" s="138">
        <f>IFERROR(D5/B5,0)</f>
        <v/>
      </c>
      <c r="J5" s="138">
        <f>IFERROR(D5/E5,0)</f>
        <v/>
      </c>
    </row>
    <row r="6" ht="28" customHeight="1" s="106">
      <c r="A6" s="149" t="n">
        <v>46260</v>
      </c>
      <c r="B6" s="137" t="n">
        <v>95.56</v>
      </c>
      <c r="C6" s="9" t="n">
        <v>4</v>
      </c>
      <c r="D6" s="137" t="n">
        <v>44.42</v>
      </c>
      <c r="E6" s="137" t="n">
        <v>406.13</v>
      </c>
      <c r="F6" s="9" t="n">
        <v>17</v>
      </c>
      <c r="G6" s="9" t="n">
        <v>87</v>
      </c>
      <c r="H6" s="138">
        <f>IFERROR(F6/G6,0)</f>
        <v/>
      </c>
      <c r="I6" s="138">
        <f>IFERROR(D6/B6,0)</f>
        <v/>
      </c>
      <c r="J6" s="138">
        <f>IFERROR(D6/E6,0)</f>
        <v/>
      </c>
    </row>
    <row r="7" ht="28" customHeight="1" s="106">
      <c r="A7" s="149" t="n">
        <v>46261</v>
      </c>
      <c r="B7" s="137" t="n">
        <v>167.23</v>
      </c>
      <c r="C7" s="9" t="n">
        <v>7</v>
      </c>
      <c r="D7" s="137" t="n">
        <v>49.38</v>
      </c>
      <c r="E7" s="137" t="n">
        <v>262.79</v>
      </c>
      <c r="F7" s="9" t="n">
        <v>11</v>
      </c>
      <c r="G7" s="9" t="n">
        <v>60</v>
      </c>
      <c r="H7" s="138">
        <f>IFERROR(F7/G7,0)</f>
        <v/>
      </c>
      <c r="I7" s="138">
        <f>IFERROR(D7/B7,0)</f>
        <v/>
      </c>
      <c r="J7" s="138">
        <f>IFERROR(D7/E7,0)</f>
        <v/>
      </c>
    </row>
    <row r="8" ht="28" customHeight="1" s="106">
      <c r="A8" s="139" t="n">
        <v>46262</v>
      </c>
      <c r="B8" s="141" t="n">
        <v>23.89</v>
      </c>
      <c r="C8" s="13" t="n">
        <v>1</v>
      </c>
      <c r="D8" s="141" t="n">
        <v>35.82</v>
      </c>
      <c r="E8" s="141" t="n">
        <v>119.45</v>
      </c>
      <c r="F8" s="13" t="n">
        <v>5</v>
      </c>
      <c r="G8" s="13" t="n">
        <v>43</v>
      </c>
      <c r="H8" s="150">
        <f>IFERROR(F8/G8,0)</f>
        <v/>
      </c>
      <c r="I8" s="150">
        <f>IFERROR(D8/B8,0)</f>
        <v/>
      </c>
      <c r="J8" s="150">
        <f>IFERROR(D8/E8,0)</f>
        <v/>
      </c>
    </row>
    <row r="9" ht="28" customHeight="1" s="106">
      <c r="A9" s="139" t="n">
        <v>46263</v>
      </c>
      <c r="B9" s="141" t="n">
        <v>71.67</v>
      </c>
      <c r="C9" s="13" t="n">
        <v>3</v>
      </c>
      <c r="D9" s="141" t="n">
        <v>44.93</v>
      </c>
      <c r="E9" s="141" t="n">
        <v>119.45</v>
      </c>
      <c r="F9" s="13" t="n">
        <v>5</v>
      </c>
      <c r="G9" s="13" t="n">
        <v>44</v>
      </c>
      <c r="H9" s="150">
        <f>IFERROR(F9/G9,0)</f>
        <v/>
      </c>
      <c r="I9" s="150">
        <f>IFERROR(D9/B9,0)</f>
        <v/>
      </c>
      <c r="J9" s="150">
        <f>IFERROR(D9/E9,0)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5" customHeight="1" s="106">
      <c r="A11" s="110" t="inlineStr">
        <is>
          <t>基线结论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11" t="n"/>
    </row>
    <row r="12" ht="38" customHeight="1" s="106">
      <c r="A12" s="6" t="inlineStr">
        <is>
          <t>指标</t>
        </is>
      </c>
      <c r="B12" s="6" t="inlineStr">
        <is>
          <t>结果</t>
        </is>
      </c>
      <c r="C12" s="5" t="n"/>
      <c r="D12" s="123" t="inlineStr">
        <is>
          <t>最近5天日均约66个会话、12.2单、总CVR约18.5%；但最近2天日均会话只有43.5、日均5单。推广主任务不是继续做复杂报表，而是恢复并扩大曝光、点击和会话，同时把整体CVR保持在15%左右。</t>
        </is>
      </c>
      <c r="E12" s="128" t="n"/>
      <c r="F12" s="128" t="n"/>
      <c r="G12" s="128" t="n"/>
      <c r="H12" s="128" t="n"/>
      <c r="I12" s="128" t="n"/>
      <c r="J12" s="113" t="n"/>
    </row>
    <row r="13" ht="28" customHeight="1" s="106">
      <c r="A13" s="21" t="inlineStr">
        <is>
          <t>最近5天日均会话</t>
        </is>
      </c>
      <c r="B13" s="21">
        <f>AVERAGE(G5:G9)</f>
        <v/>
      </c>
      <c r="C13" s="5" t="n"/>
      <c r="D13" s="117" t="n"/>
      <c r="J13" s="118" t="n"/>
    </row>
    <row r="14" ht="28" customHeight="1" s="106">
      <c r="A14" s="21" t="inlineStr">
        <is>
          <t>最近5天日均订单</t>
        </is>
      </c>
      <c r="B14" s="21">
        <f>AVERAGE(F5:F9)</f>
        <v/>
      </c>
      <c r="C14" s="5" t="n"/>
      <c r="D14" s="117" t="n"/>
      <c r="J14" s="118" t="n"/>
    </row>
    <row r="15">
      <c r="A15" s="21" t="inlineStr">
        <is>
          <t>最近5天总CVR</t>
        </is>
      </c>
      <c r="B15" s="151">
        <f>SUM(F5:F9)/SUM(G5:G9)</f>
        <v/>
      </c>
      <c r="C15" s="5" t="n"/>
      <c r="D15" s="117" t="n"/>
      <c r="J15" s="118" t="n"/>
    </row>
    <row r="16" ht="28" customHeight="1" s="106">
      <c r="A16" s="21" t="inlineStr">
        <is>
          <t>最近2天日均会话</t>
        </is>
      </c>
      <c r="B16" s="21">
        <f>AVERAGE(G8:G9)</f>
        <v/>
      </c>
      <c r="C16" s="5" t="n"/>
      <c r="D16" s="120" t="n"/>
      <c r="E16" s="129" t="n"/>
      <c r="F16" s="129" t="n"/>
      <c r="G16" s="129" t="n"/>
      <c r="H16" s="129" t="n"/>
      <c r="I16" s="129" t="n"/>
      <c r="J16" s="121" t="n"/>
    </row>
  </sheetData>
  <mergeCells count="4">
    <mergeCell ref="D12:J16"/>
    <mergeCell ref="A1:J1"/>
    <mergeCell ref="A2:J2"/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2026-08-31T07:29:00Z</dcterms:created>
  <dcterms:modified xsi:type="dcterms:W3CDTF">2026-08-31T08:00:02Z</dcterms:modified>
  <cp:lastModifiedBy>陈竞翔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6E06F173F15948D283047F05B55167C0_13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